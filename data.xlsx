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4CEE3B0D-7079-4538-BAD3-BE1BD7FB7AD4}" xr6:coauthVersionLast="47" xr6:coauthVersionMax="47" xr10:uidLastSave="{00000000-0000-0000-0000-000000000000}"/>
  <bookViews>
    <workbookView xWindow="-120" yWindow="-120" windowWidth="29040" windowHeight="15720" tabRatio="398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8" i="1" l="1"/>
  <c r="BD158" i="1"/>
  <c r="BC158" i="1"/>
  <c r="BI158" i="5"/>
  <c r="BH158" i="5"/>
  <c r="BI158" i="7"/>
  <c r="BH158" i="7"/>
  <c r="BE235" i="1"/>
  <c r="BC235" i="1"/>
  <c r="BI235" i="5"/>
  <c r="BH235" i="5"/>
  <c r="BI238" i="7"/>
  <c r="BH238" i="7"/>
  <c r="BE234" i="1"/>
  <c r="BC234" i="1"/>
  <c r="BI234" i="5"/>
  <c r="BH234" i="5"/>
  <c r="BI237" i="7"/>
  <c r="BH237" i="7"/>
  <c r="BE82" i="1"/>
  <c r="BC82" i="1"/>
  <c r="BI82" i="5"/>
  <c r="BH82" i="5"/>
  <c r="BI82" i="7"/>
  <c r="BH82" i="7"/>
  <c r="BE81" i="1"/>
  <c r="BC81" i="1"/>
  <c r="BI81" i="5"/>
  <c r="BH81" i="5"/>
  <c r="BI81" i="7"/>
  <c r="BH81" i="7"/>
  <c r="BE157" i="1"/>
  <c r="BC157" i="1"/>
  <c r="BI157" i="5"/>
  <c r="BH157" i="5"/>
  <c r="BI157" i="7"/>
  <c r="BH157" i="7"/>
  <c r="BI236" i="7"/>
  <c r="BH236" i="7"/>
  <c r="BI235" i="7"/>
  <c r="BH235" i="7"/>
  <c r="BI234" i="7"/>
  <c r="BH234" i="7"/>
  <c r="BE80" i="1"/>
  <c r="BC80" i="1"/>
  <c r="BE79" i="1"/>
  <c r="BC79" i="1"/>
  <c r="BI80" i="5"/>
  <c r="BH80" i="5"/>
  <c r="BI79" i="5"/>
  <c r="BH79" i="5"/>
  <c r="BI80" i="7"/>
  <c r="BH80" i="7"/>
  <c r="BI79" i="7"/>
  <c r="BH79" i="7"/>
  <c r="BE78" i="1"/>
  <c r="BC78" i="1"/>
  <c r="BI78" i="5"/>
  <c r="BH78" i="5"/>
  <c r="BI78" i="7"/>
  <c r="BH78" i="7"/>
  <c r="BE156" i="1"/>
  <c r="BC156" i="1"/>
  <c r="BI156" i="5"/>
  <c r="BH156" i="5"/>
  <c r="BI156" i="7"/>
  <c r="BH156" i="7"/>
  <c r="BE155" i="1"/>
  <c r="BC155" i="1"/>
  <c r="BI155" i="5"/>
  <c r="BH155" i="5"/>
  <c r="BI155" i="7"/>
  <c r="BH155" i="7"/>
  <c r="BE72" i="1"/>
  <c r="BE73" i="1"/>
  <c r="BE74" i="1"/>
  <c r="BE75" i="1"/>
  <c r="BE76" i="1"/>
  <c r="BE77" i="1"/>
  <c r="BE83" i="1"/>
  <c r="BC73" i="1"/>
  <c r="BC74" i="1"/>
  <c r="BC75" i="1"/>
  <c r="BC76" i="1"/>
  <c r="BC77" i="1"/>
  <c r="BC83" i="1"/>
  <c r="BE150" i="1"/>
  <c r="BE151" i="1"/>
  <c r="BE152" i="1"/>
  <c r="BE153" i="1"/>
  <c r="BE154" i="1"/>
  <c r="BE159" i="1"/>
  <c r="BC150" i="1"/>
  <c r="BC151" i="1"/>
  <c r="BC152" i="1"/>
  <c r="BC153" i="1"/>
  <c r="BC154" i="1"/>
  <c r="BC159" i="1"/>
  <c r="BI73" i="5"/>
  <c r="BI74" i="5"/>
  <c r="BI75" i="5"/>
  <c r="BI76" i="5"/>
  <c r="BI77" i="5"/>
  <c r="BI83" i="5"/>
  <c r="BH73" i="5"/>
  <c r="BH74" i="5"/>
  <c r="BH75" i="5"/>
  <c r="BH76" i="5"/>
  <c r="BH77" i="5"/>
  <c r="BH83" i="5"/>
  <c r="BI149" i="5"/>
  <c r="BI150" i="5"/>
  <c r="BI151" i="5"/>
  <c r="BI152" i="5"/>
  <c r="BI153" i="5"/>
  <c r="BI154" i="5"/>
  <c r="BI159" i="5"/>
  <c r="BH150" i="5"/>
  <c r="BH151" i="5"/>
  <c r="BH152" i="5"/>
  <c r="BH153" i="5"/>
  <c r="BH154" i="5"/>
  <c r="BH159" i="5"/>
  <c r="BI73" i="7"/>
  <c r="BI74" i="7"/>
  <c r="BI75" i="7"/>
  <c r="BI76" i="7"/>
  <c r="BI77" i="7"/>
  <c r="BI83" i="7"/>
  <c r="BH73" i="7"/>
  <c r="BH74" i="7"/>
  <c r="BH75" i="7"/>
  <c r="BH76" i="7"/>
  <c r="BH77" i="7"/>
  <c r="BH83" i="7"/>
  <c r="BI149" i="7"/>
  <c r="BI150" i="7"/>
  <c r="BI151" i="7"/>
  <c r="BI152" i="7"/>
  <c r="BI153" i="7"/>
  <c r="BI154" i="7"/>
  <c r="BI159" i="7"/>
  <c r="BH149" i="7"/>
  <c r="BH150" i="7"/>
  <c r="BH151" i="7"/>
  <c r="BH152" i="7"/>
  <c r="BH153" i="7"/>
  <c r="BH154" i="7"/>
  <c r="BH159" i="7"/>
  <c r="BI225" i="5"/>
  <c r="BI226" i="5"/>
  <c r="BI227" i="5"/>
  <c r="BI228" i="5"/>
  <c r="BI229" i="5"/>
  <c r="BI230" i="5"/>
  <c r="BI231" i="5"/>
  <c r="BI232" i="5"/>
  <c r="BI233" i="5"/>
  <c r="BI236" i="5"/>
  <c r="BH225" i="5"/>
  <c r="BH226" i="5"/>
  <c r="BH227" i="5"/>
  <c r="BH228" i="5"/>
  <c r="BH229" i="5"/>
  <c r="BH230" i="5"/>
  <c r="BH231" i="5"/>
  <c r="BH232" i="5"/>
  <c r="BH233" i="5"/>
  <c r="BH236" i="5"/>
  <c r="BI225" i="7"/>
  <c r="BI226" i="7"/>
  <c r="BI227" i="7"/>
  <c r="BI228" i="7"/>
  <c r="BI229" i="7"/>
  <c r="BI230" i="7"/>
  <c r="BI231" i="7"/>
  <c r="BI232" i="7"/>
  <c r="BI233" i="7"/>
  <c r="BI239" i="7"/>
  <c r="BH225" i="7"/>
  <c r="BH226" i="7"/>
  <c r="BH227" i="7"/>
  <c r="BH228" i="7"/>
  <c r="BH229" i="7"/>
  <c r="BH230" i="7"/>
  <c r="BH231" i="7"/>
  <c r="BH232" i="7"/>
  <c r="BH233" i="7"/>
  <c r="BH239" i="7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6" i="1"/>
  <c r="BC225" i="1"/>
  <c r="BC226" i="1"/>
  <c r="BC227" i="1"/>
  <c r="BC228" i="1"/>
  <c r="BC229" i="1"/>
  <c r="BC230" i="1"/>
  <c r="BC231" i="1"/>
  <c r="BC232" i="1"/>
  <c r="BC233" i="1"/>
  <c r="BC236" i="1"/>
  <c r="BE175" i="1"/>
  <c r="BE176" i="1"/>
  <c r="BE177" i="1"/>
  <c r="BE178" i="1"/>
  <c r="BE179" i="1"/>
  <c r="BE180" i="1"/>
  <c r="BE181" i="1"/>
  <c r="BC175" i="1"/>
  <c r="BC176" i="1"/>
  <c r="BC177" i="1"/>
  <c r="BC178" i="1"/>
  <c r="BC179" i="1"/>
  <c r="BC180" i="1"/>
  <c r="BI180" i="5"/>
  <c r="BH180" i="5"/>
  <c r="BI179" i="7"/>
  <c r="BH179" i="7"/>
  <c r="BE203" i="1"/>
  <c r="BE204" i="1"/>
  <c r="BE205" i="1"/>
  <c r="BC203" i="1"/>
  <c r="BC204" i="1"/>
  <c r="BC205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98" i="1"/>
  <c r="BE99" i="1"/>
  <c r="BE100" i="1"/>
  <c r="BE101" i="1"/>
  <c r="BE102" i="1"/>
  <c r="BE103" i="1"/>
  <c r="BE104" i="1"/>
  <c r="BC72" i="1"/>
  <c r="BC85" i="1"/>
  <c r="BC86" i="1"/>
  <c r="BC97" i="1"/>
  <c r="BC98" i="1"/>
  <c r="BC99" i="1"/>
  <c r="BC100" i="1"/>
  <c r="BC101" i="1"/>
  <c r="BC102" i="1"/>
  <c r="BC103" i="1"/>
  <c r="BC104" i="1"/>
  <c r="BC140" i="1"/>
  <c r="BC141" i="1"/>
  <c r="BC142" i="1"/>
  <c r="BC143" i="1"/>
  <c r="BC144" i="1"/>
  <c r="BC145" i="1"/>
  <c r="BC146" i="1"/>
  <c r="BC147" i="1"/>
  <c r="BC148" i="1"/>
  <c r="BC149" i="1"/>
  <c r="BC129" i="1"/>
  <c r="BC130" i="1"/>
  <c r="BC131" i="1"/>
  <c r="BC132" i="1"/>
  <c r="BC133" i="1"/>
  <c r="BC134" i="1"/>
  <c r="BC135" i="1"/>
  <c r="BC136" i="1"/>
  <c r="BC137" i="1"/>
  <c r="BC138" i="1"/>
  <c r="BC139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I224" i="5"/>
  <c r="BH224" i="5"/>
  <c r="BI223" i="7"/>
  <c r="BH223" i="7"/>
  <c r="BI220" i="5"/>
  <c r="BI221" i="5"/>
  <c r="BI222" i="5"/>
  <c r="BI223" i="5"/>
  <c r="BH221" i="5"/>
  <c r="BH222" i="5"/>
  <c r="BH223" i="5"/>
  <c r="BI147" i="5"/>
  <c r="BI148" i="5"/>
  <c r="BH147" i="5"/>
  <c r="BH148" i="5"/>
  <c r="BH149" i="5"/>
  <c r="BI104" i="5"/>
  <c r="BH104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4" i="1"/>
  <c r="BC174" i="1"/>
  <c r="BI174" i="5"/>
  <c r="BH174" i="5"/>
  <c r="BI174" i="7"/>
  <c r="BH174" i="7"/>
  <c r="BI7" i="7"/>
  <c r="BI8" i="7"/>
  <c r="BI9" i="7"/>
  <c r="BH7" i="7"/>
  <c r="BH8" i="7"/>
  <c r="BH9" i="7"/>
  <c r="BI28" i="7"/>
  <c r="BH28" i="7"/>
  <c r="BI51" i="7"/>
  <c r="BH51" i="7"/>
  <c r="BI99" i="7"/>
  <c r="BH99" i="7"/>
  <c r="BI135" i="7"/>
  <c r="BH135" i="7"/>
  <c r="BI145" i="7"/>
  <c r="BI146" i="7"/>
  <c r="BI147" i="7"/>
  <c r="BI148" i="7"/>
  <c r="BH145" i="7"/>
  <c r="BH146" i="7"/>
  <c r="BH147" i="7"/>
  <c r="BH148" i="7"/>
  <c r="BI140" i="7"/>
  <c r="BI141" i="7"/>
  <c r="BH140" i="7"/>
  <c r="BH141" i="7"/>
  <c r="BI208" i="7"/>
  <c r="BH208" i="7"/>
  <c r="BH214" i="7"/>
  <c r="BI214" i="7"/>
  <c r="BI220" i="7"/>
  <c r="BI221" i="7"/>
  <c r="BI222" i="7"/>
  <c r="BH220" i="7"/>
  <c r="BH221" i="7"/>
  <c r="BH222" i="7"/>
  <c r="BI224" i="7"/>
  <c r="BH224" i="7"/>
  <c r="BI142" i="7"/>
  <c r="BH142" i="7"/>
  <c r="BH220" i="5"/>
  <c r="BD234" i="1" l="1"/>
  <c r="BD235" i="1"/>
  <c r="BD82" i="1"/>
  <c r="BD81" i="1"/>
  <c r="BD157" i="1"/>
  <c r="BD80" i="1"/>
  <c r="BD79" i="1"/>
  <c r="BD74" i="1"/>
  <c r="BD78" i="1"/>
  <c r="BD226" i="1"/>
  <c r="BD156" i="1"/>
  <c r="BD222" i="1"/>
  <c r="BD155" i="1"/>
  <c r="BD230" i="1"/>
  <c r="BD229" i="1"/>
  <c r="BD151" i="1"/>
  <c r="BD75" i="1"/>
  <c r="BD73" i="1"/>
  <c r="BD224" i="1"/>
  <c r="BD236" i="1"/>
  <c r="BD159" i="1"/>
  <c r="BD154" i="1"/>
  <c r="BD83" i="1"/>
  <c r="BD153" i="1"/>
  <c r="BD77" i="1"/>
  <c r="BD225" i="1"/>
  <c r="BD152" i="1"/>
  <c r="BD228" i="1"/>
  <c r="BD227" i="1"/>
  <c r="BD150" i="1"/>
  <c r="BD223" i="1"/>
  <c r="BD76" i="1"/>
  <c r="BD232" i="1"/>
  <c r="BD233" i="1"/>
  <c r="BD231" i="1"/>
  <c r="BD148" i="1"/>
  <c r="BD149" i="1"/>
  <c r="BD147" i="1"/>
  <c r="BD220" i="1"/>
  <c r="BD221" i="1"/>
  <c r="BD174" i="1"/>
  <c r="BD7" i="1"/>
  <c r="BD8" i="1"/>
  <c r="BD6" i="1"/>
  <c r="BI203" i="7"/>
  <c r="BH203" i="7"/>
  <c r="BI188" i="7"/>
  <c r="BH188" i="7"/>
  <c r="BI212" i="7"/>
  <c r="BH212" i="7"/>
  <c r="BI98" i="7"/>
  <c r="BH98" i="7"/>
  <c r="BI139" i="7"/>
  <c r="BH139" i="7"/>
  <c r="BI103" i="7"/>
  <c r="BH103" i="7"/>
  <c r="BI102" i="7"/>
  <c r="BH102" i="7"/>
  <c r="BI130" i="7"/>
  <c r="BH130" i="7"/>
  <c r="BI85" i="7"/>
  <c r="BH85" i="7"/>
  <c r="BI5" i="7"/>
  <c r="BH5" i="7"/>
  <c r="BI67" i="7"/>
  <c r="BH67" i="7"/>
  <c r="BI29" i="7"/>
  <c r="BH29" i="7"/>
  <c r="BI72" i="7"/>
  <c r="BH72" i="7"/>
  <c r="BI66" i="7"/>
  <c r="BH66" i="7"/>
  <c r="BI134" i="5"/>
  <c r="BH134" i="5"/>
  <c r="BI145" i="5"/>
  <c r="BD145" i="1" s="1"/>
  <c r="BH145" i="5"/>
  <c r="BI213" i="5"/>
  <c r="BH213" i="5"/>
  <c r="BI27" i="5"/>
  <c r="BH27" i="5"/>
  <c r="BI98" i="5"/>
  <c r="BH98" i="5"/>
  <c r="BI203" i="5"/>
  <c r="BH203" i="5"/>
  <c r="BI144" i="5"/>
  <c r="BH144" i="5"/>
  <c r="BI207" i="5"/>
  <c r="BH207" i="5"/>
  <c r="BI140" i="5"/>
  <c r="BD140" i="1" s="1"/>
  <c r="BH140" i="5"/>
  <c r="BH103" i="5"/>
  <c r="BI103" i="5"/>
  <c r="BI5" i="5"/>
  <c r="BH5" i="5"/>
  <c r="BI146" i="5"/>
  <c r="BD146" i="1" s="1"/>
  <c r="BH146" i="5"/>
  <c r="BI102" i="5"/>
  <c r="BH102" i="5"/>
  <c r="BI139" i="5"/>
  <c r="BH139" i="5"/>
  <c r="BI50" i="5"/>
  <c r="BH50" i="5"/>
  <c r="BI219" i="7"/>
  <c r="BD219" i="1" s="1"/>
  <c r="BH219" i="7"/>
  <c r="BI218" i="7"/>
  <c r="BH218" i="7"/>
  <c r="BI217" i="7"/>
  <c r="BH217" i="7"/>
  <c r="BI216" i="7"/>
  <c r="BH216" i="7"/>
  <c r="BI215" i="7"/>
  <c r="BH215" i="7"/>
  <c r="BI213" i="7"/>
  <c r="BH213" i="7"/>
  <c r="BI211" i="7"/>
  <c r="BH211" i="7"/>
  <c r="BI210" i="7"/>
  <c r="BH210" i="7"/>
  <c r="BI209" i="7"/>
  <c r="BH209" i="7"/>
  <c r="BI207" i="7"/>
  <c r="BH207" i="7"/>
  <c r="BI206" i="7"/>
  <c r="BH206" i="7"/>
  <c r="BI205" i="7"/>
  <c r="BH205" i="7"/>
  <c r="BI204" i="7"/>
  <c r="BH204" i="7"/>
  <c r="BI202" i="7"/>
  <c r="BH202" i="7"/>
  <c r="BI201" i="7"/>
  <c r="BH201" i="7"/>
  <c r="BI200" i="7"/>
  <c r="BH200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2" i="7"/>
  <c r="BH192" i="7"/>
  <c r="BI191" i="7"/>
  <c r="BH191" i="7"/>
  <c r="BI190" i="7"/>
  <c r="BH190" i="7"/>
  <c r="BI189" i="7"/>
  <c r="BH189" i="7"/>
  <c r="BI187" i="7"/>
  <c r="BH187" i="7"/>
  <c r="BI186" i="7"/>
  <c r="BH186" i="7"/>
  <c r="BI185" i="7"/>
  <c r="BH185" i="7"/>
  <c r="BI184" i="7"/>
  <c r="BH184" i="7"/>
  <c r="BI183" i="7"/>
  <c r="BH183" i="7"/>
  <c r="BI182" i="7"/>
  <c r="BH182" i="7"/>
  <c r="BI181" i="7"/>
  <c r="BH181" i="7"/>
  <c r="BI180" i="7"/>
  <c r="BD180" i="1" s="1"/>
  <c r="BH180" i="7"/>
  <c r="BI178" i="7"/>
  <c r="BH178" i="7"/>
  <c r="BI177" i="7"/>
  <c r="BH177" i="7"/>
  <c r="BI176" i="7"/>
  <c r="BH176" i="7"/>
  <c r="BI175" i="7"/>
  <c r="BH175" i="7"/>
  <c r="BI173" i="7"/>
  <c r="BH173" i="7"/>
  <c r="BI172" i="7"/>
  <c r="BH172" i="7"/>
  <c r="BI171" i="7"/>
  <c r="BH171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64" i="7"/>
  <c r="BH164" i="7"/>
  <c r="BI163" i="7"/>
  <c r="BH163" i="7"/>
  <c r="BI162" i="7"/>
  <c r="BH162" i="7"/>
  <c r="BI161" i="7"/>
  <c r="BH161" i="7"/>
  <c r="BI144" i="7"/>
  <c r="BH144" i="7"/>
  <c r="BI143" i="7"/>
  <c r="BH143" i="7"/>
  <c r="BI138" i="7"/>
  <c r="BH138" i="7"/>
  <c r="BI137" i="7"/>
  <c r="BH137" i="7"/>
  <c r="BI136" i="7"/>
  <c r="BH136" i="7"/>
  <c r="BI134" i="7"/>
  <c r="BH134" i="7"/>
  <c r="BI133" i="7"/>
  <c r="BH133" i="7"/>
  <c r="BI132" i="7"/>
  <c r="BH132" i="7"/>
  <c r="BI131" i="7"/>
  <c r="BH131" i="7"/>
  <c r="BI129" i="7"/>
  <c r="BH129" i="7"/>
  <c r="BI128" i="7"/>
  <c r="BH128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H106" i="7"/>
  <c r="BI105" i="7"/>
  <c r="BH105" i="7"/>
  <c r="BI104" i="7"/>
  <c r="BD104" i="1" s="1"/>
  <c r="BH104" i="7"/>
  <c r="BI101" i="7"/>
  <c r="BH101" i="7"/>
  <c r="BI100" i="7"/>
  <c r="BH100" i="7"/>
  <c r="BI97" i="7"/>
  <c r="BH97" i="7"/>
  <c r="BI96" i="7"/>
  <c r="BH96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87" i="7"/>
  <c r="BH87" i="7"/>
  <c r="BI86" i="7"/>
  <c r="BH86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D9" i="1" s="1"/>
  <c r="BH10" i="7"/>
  <c r="BI6" i="7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6" i="1"/>
  <c r="BE207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I52" i="5"/>
  <c r="BD51" i="1" s="1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5" i="5"/>
  <c r="BI86" i="5"/>
  <c r="BI87" i="5"/>
  <c r="BI88" i="5"/>
  <c r="BI89" i="5"/>
  <c r="BI90" i="5"/>
  <c r="BI91" i="5"/>
  <c r="BI92" i="5"/>
  <c r="BI93" i="5"/>
  <c r="BI94" i="5"/>
  <c r="BI95" i="5"/>
  <c r="BI96" i="5"/>
  <c r="BI97" i="5"/>
  <c r="BI99" i="5"/>
  <c r="BD99" i="1" s="1"/>
  <c r="BI100" i="5"/>
  <c r="BI101" i="5"/>
  <c r="BI105" i="5"/>
  <c r="BI106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2" i="5"/>
  <c r="BI133" i="5"/>
  <c r="BI135" i="5"/>
  <c r="BD135" i="1" s="1"/>
  <c r="BI136" i="5"/>
  <c r="BI137" i="5"/>
  <c r="BI138" i="5"/>
  <c r="BI141" i="5"/>
  <c r="BD141" i="1" s="1"/>
  <c r="BI142" i="5"/>
  <c r="BD142" i="1" s="1"/>
  <c r="BI143" i="5"/>
  <c r="BI161" i="5"/>
  <c r="BI162" i="5"/>
  <c r="BI163" i="5"/>
  <c r="BI164" i="5"/>
  <c r="BI165" i="5"/>
  <c r="BI166" i="5"/>
  <c r="BI167" i="5"/>
  <c r="BI168" i="5"/>
  <c r="BI169" i="5"/>
  <c r="BI170" i="5"/>
  <c r="BI171" i="5"/>
  <c r="BI172" i="5"/>
  <c r="BI173" i="5"/>
  <c r="BI175" i="5"/>
  <c r="BI176" i="5"/>
  <c r="BI177" i="5"/>
  <c r="BI178" i="5"/>
  <c r="BI179" i="5"/>
  <c r="BD179" i="1" s="1"/>
  <c r="BI181" i="5"/>
  <c r="BI182" i="5"/>
  <c r="BI183" i="5"/>
  <c r="BI184" i="5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0" i="5"/>
  <c r="BI201" i="5"/>
  <c r="BI202" i="5"/>
  <c r="BI204" i="5"/>
  <c r="BI205" i="5"/>
  <c r="BI206" i="5"/>
  <c r="BI208" i="5"/>
  <c r="BI209" i="5"/>
  <c r="BD208" i="1" s="1"/>
  <c r="BI210" i="5"/>
  <c r="BI211" i="5"/>
  <c r="BI212" i="5"/>
  <c r="BI214" i="5"/>
  <c r="BI215" i="5"/>
  <c r="BD214" i="1" s="1"/>
  <c r="BI216" i="5"/>
  <c r="BI217" i="5"/>
  <c r="BI218" i="5"/>
  <c r="BI219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5" i="5"/>
  <c r="BH86" i="5"/>
  <c r="BH87" i="5"/>
  <c r="BH88" i="5"/>
  <c r="BH89" i="5"/>
  <c r="BH90" i="5"/>
  <c r="BH91" i="5"/>
  <c r="BH92" i="5"/>
  <c r="BH93" i="5"/>
  <c r="BH94" i="5"/>
  <c r="BH95" i="5"/>
  <c r="BH96" i="5"/>
  <c r="BH97" i="5"/>
  <c r="BH99" i="5"/>
  <c r="BH100" i="5"/>
  <c r="BH101" i="5"/>
  <c r="BH105" i="5"/>
  <c r="BH106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2" i="5"/>
  <c r="BH133" i="5"/>
  <c r="BH135" i="5"/>
  <c r="BH136" i="5"/>
  <c r="BH137" i="5"/>
  <c r="BH138" i="5"/>
  <c r="BH141" i="5"/>
  <c r="BH142" i="5"/>
  <c r="BH143" i="5"/>
  <c r="BH161" i="5"/>
  <c r="BH162" i="5"/>
  <c r="BH163" i="5"/>
  <c r="BH164" i="5"/>
  <c r="BH165" i="5"/>
  <c r="BH166" i="5"/>
  <c r="BH167" i="5"/>
  <c r="BH168" i="5"/>
  <c r="BH169" i="5"/>
  <c r="BH170" i="5"/>
  <c r="BH171" i="5"/>
  <c r="BH172" i="5"/>
  <c r="BH173" i="5"/>
  <c r="BH175" i="5"/>
  <c r="BH176" i="5"/>
  <c r="BH177" i="5"/>
  <c r="BH178" i="5"/>
  <c r="BH179" i="5"/>
  <c r="BH181" i="5"/>
  <c r="BH182" i="5"/>
  <c r="BH183" i="5"/>
  <c r="BH184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0" i="5"/>
  <c r="BH201" i="5"/>
  <c r="BH202" i="5"/>
  <c r="BH204" i="5"/>
  <c r="BH205" i="5"/>
  <c r="BH206" i="5"/>
  <c r="BH208" i="5"/>
  <c r="BH209" i="5"/>
  <c r="BH210" i="5"/>
  <c r="BH211" i="5"/>
  <c r="BH212" i="5"/>
  <c r="BH214" i="5"/>
  <c r="BH215" i="5"/>
  <c r="BH216" i="5"/>
  <c r="BH217" i="5"/>
  <c r="BH218" i="5"/>
  <c r="BH219" i="5"/>
  <c r="BC105" i="1"/>
  <c r="BC60" i="1"/>
  <c r="BC120" i="1"/>
  <c r="BC202" i="1"/>
  <c r="BC201" i="1"/>
  <c r="BC206" i="1"/>
  <c r="BC123" i="1"/>
  <c r="BC122" i="1"/>
  <c r="BC128" i="1"/>
  <c r="BC127" i="1"/>
  <c r="BC197" i="1"/>
  <c r="BC198" i="1"/>
  <c r="BC196" i="1"/>
  <c r="BC95" i="1"/>
  <c r="BC119" i="1"/>
  <c r="BC52" i="1"/>
  <c r="BC70" i="1"/>
  <c r="BC16" i="1"/>
  <c r="BC118" i="1"/>
  <c r="BC112" i="1"/>
  <c r="BC200" i="1"/>
  <c r="BC195" i="1"/>
  <c r="BC109" i="1"/>
  <c r="BC161" i="1"/>
  <c r="BC194" i="1"/>
  <c r="BC69" i="1"/>
  <c r="BC167" i="1"/>
  <c r="BC187" i="1"/>
  <c r="BC199" i="1"/>
  <c r="BC173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7" i="1"/>
  <c r="BC88" i="1"/>
  <c r="BC89" i="1"/>
  <c r="BC90" i="1"/>
  <c r="BC91" i="1"/>
  <c r="BC92" i="1"/>
  <c r="BC93" i="1"/>
  <c r="BC94" i="1"/>
  <c r="BC96" i="1"/>
  <c r="BC106" i="1"/>
  <c r="BC107" i="1"/>
  <c r="BC108" i="1"/>
  <c r="BC110" i="1"/>
  <c r="BC111" i="1"/>
  <c r="BC113" i="1"/>
  <c r="BC114" i="1"/>
  <c r="BC115" i="1"/>
  <c r="BC116" i="1"/>
  <c r="BC117" i="1"/>
  <c r="BC121" i="1"/>
  <c r="BC124" i="1"/>
  <c r="BC125" i="1"/>
  <c r="BC126" i="1"/>
  <c r="BC162" i="1"/>
  <c r="BC163" i="1"/>
  <c r="BC164" i="1"/>
  <c r="BC165" i="1"/>
  <c r="BC166" i="1"/>
  <c r="BC168" i="1"/>
  <c r="BC169" i="1"/>
  <c r="BC170" i="1"/>
  <c r="BC171" i="1"/>
  <c r="BC172" i="1"/>
  <c r="BC181" i="1"/>
  <c r="BC182" i="1"/>
  <c r="BC183" i="1"/>
  <c r="BC184" i="1"/>
  <c r="BC185" i="1"/>
  <c r="BC186" i="1"/>
  <c r="BC188" i="1"/>
  <c r="BC189" i="1"/>
  <c r="BC190" i="1"/>
  <c r="BC191" i="1"/>
  <c r="BC192" i="1"/>
  <c r="BC193" i="1"/>
  <c r="BC207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139" i="1" l="1"/>
  <c r="BD134" i="1"/>
  <c r="BD69" i="1"/>
  <c r="BD101" i="1"/>
  <c r="BD186" i="1"/>
  <c r="BD215" i="1"/>
  <c r="BD194" i="1"/>
  <c r="BD195" i="1"/>
  <c r="BD193" i="1"/>
  <c r="BD136" i="1"/>
  <c r="BD203" i="1"/>
  <c r="BD175" i="1"/>
  <c r="BD176" i="1"/>
  <c r="BD210" i="1"/>
  <c r="BD25" i="1"/>
  <c r="BD143" i="1"/>
  <c r="BD177" i="1"/>
  <c r="BD211" i="1"/>
  <c r="BD102" i="1"/>
  <c r="BD144" i="1"/>
  <c r="BD178" i="1"/>
  <c r="BD217" i="1"/>
  <c r="BD70" i="1"/>
  <c r="BD55" i="1"/>
  <c r="BD29" i="1"/>
  <c r="BD67" i="1"/>
  <c r="BD205" i="1"/>
  <c r="BD26" i="1"/>
  <c r="BD56" i="1"/>
  <c r="BD188" i="1"/>
  <c r="BD190" i="1"/>
  <c r="BD66" i="1"/>
  <c r="BD130" i="1"/>
  <c r="BD132" i="1"/>
  <c r="BD72" i="1"/>
  <c r="BD65" i="1"/>
  <c r="BD53" i="1"/>
  <c r="BD97" i="1"/>
  <c r="BD54" i="1"/>
  <c r="BD131" i="1"/>
  <c r="BD218" i="1"/>
  <c r="BD100" i="1"/>
  <c r="BD133" i="1"/>
  <c r="BD192" i="1"/>
  <c r="BD213" i="1"/>
  <c r="BD103" i="1"/>
  <c r="BD187" i="1"/>
  <c r="BD216" i="1"/>
  <c r="BD98" i="1"/>
  <c r="BD191" i="1"/>
  <c r="BD204" i="1"/>
  <c r="BD105" i="1"/>
  <c r="BD189" i="1"/>
  <c r="BD209" i="1"/>
  <c r="BD85" i="1"/>
  <c r="BD212" i="1"/>
  <c r="BD59" i="1"/>
  <c r="BD58" i="1"/>
  <c r="BD71" i="1"/>
  <c r="BD57" i="1"/>
  <c r="BD61" i="1"/>
  <c r="BD60" i="1"/>
  <c r="BD63" i="1"/>
  <c r="BD24" i="1"/>
  <c r="BD27" i="1"/>
  <c r="BD52" i="1"/>
  <c r="BD62" i="1"/>
  <c r="BD64" i="1"/>
  <c r="BD197" i="1"/>
  <c r="BD185" i="1"/>
  <c r="BD171" i="1"/>
  <c r="BD109" i="1"/>
  <c r="BD121" i="1"/>
  <c r="BD201" i="1"/>
  <c r="BD163" i="1"/>
  <c r="BD129" i="1"/>
  <c r="BD117" i="1"/>
  <c r="BD181" i="1"/>
  <c r="BD167" i="1"/>
  <c r="BD138" i="1"/>
  <c r="BD125" i="1"/>
  <c r="BD113" i="1"/>
  <c r="BD198" i="1"/>
  <c r="BD172" i="1"/>
  <c r="BD118" i="1"/>
  <c r="BD106" i="1"/>
  <c r="BD94" i="1"/>
  <c r="BD46" i="1"/>
  <c r="BD34" i="1"/>
  <c r="BD207" i="1"/>
  <c r="BD88" i="1"/>
  <c r="BD40" i="1"/>
  <c r="BD183" i="1"/>
  <c r="BD169" i="1"/>
  <c r="BD127" i="1"/>
  <c r="BD115" i="1"/>
  <c r="BD20" i="1"/>
  <c r="BD200" i="1"/>
  <c r="BD162" i="1"/>
  <c r="BD120" i="1"/>
  <c r="BD108" i="1"/>
  <c r="BD199" i="1"/>
  <c r="BD173" i="1"/>
  <c r="BD166" i="1"/>
  <c r="BD137" i="1"/>
  <c r="BD112" i="1"/>
  <c r="BD124" i="1"/>
  <c r="BD92" i="1"/>
  <c r="BD161" i="1"/>
  <c r="BD119" i="1"/>
  <c r="BD107" i="1"/>
  <c r="BD91" i="1"/>
  <c r="BD43" i="1"/>
  <c r="BD31" i="1"/>
  <c r="BD17" i="1"/>
  <c r="BD90" i="1"/>
  <c r="BD42" i="1"/>
  <c r="BD16" i="1"/>
  <c r="BD49" i="1"/>
  <c r="BD37" i="1"/>
  <c r="BD23" i="1"/>
  <c r="BD11" i="1"/>
  <c r="BD22" i="1"/>
  <c r="BD36" i="1"/>
  <c r="BD165" i="1"/>
  <c r="BD123" i="1"/>
  <c r="BD111" i="1"/>
  <c r="BD202" i="1"/>
  <c r="BD164" i="1"/>
  <c r="BD122" i="1"/>
  <c r="BD110" i="1"/>
  <c r="BD96" i="1"/>
  <c r="BD48" i="1"/>
  <c r="BD93" i="1"/>
  <c r="BD45" i="1"/>
  <c r="BD33" i="1"/>
  <c r="BD19" i="1"/>
  <c r="BD44" i="1"/>
  <c r="BD32" i="1"/>
  <c r="BD18" i="1"/>
  <c r="BD89" i="1"/>
  <c r="BD15" i="1"/>
  <c r="BD196" i="1"/>
  <c r="BD184" i="1"/>
  <c r="BD170" i="1"/>
  <c r="BD128" i="1"/>
  <c r="BD116" i="1"/>
  <c r="BD14" i="1"/>
  <c r="BD5" i="1"/>
  <c r="BD87" i="1"/>
  <c r="BD39" i="1"/>
  <c r="BD13" i="1"/>
  <c r="BD206" i="1"/>
  <c r="BD182" i="1"/>
  <c r="BD168" i="1"/>
  <c r="BD126" i="1"/>
  <c r="BD114" i="1"/>
  <c r="BD86" i="1"/>
  <c r="BD50" i="1"/>
  <c r="BD38" i="1"/>
  <c r="BD12" i="1"/>
  <c r="BD10" i="1"/>
  <c r="BD95" i="1"/>
  <c r="BD47" i="1"/>
  <c r="BD35" i="1"/>
  <c r="BD21" i="1"/>
  <c r="BD68" i="1"/>
  <c r="BD41" i="1"/>
</calcChain>
</file>

<file path=xl/sharedStrings.xml><?xml version="1.0" encoding="utf-8"?>
<sst xmlns="http://schemas.openxmlformats.org/spreadsheetml/2006/main" count="2906" uniqueCount="456">
  <si>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</si>
  <si>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</si>
  <si>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</si>
  <si>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</si>
  <si>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</si>
  <si>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</si>
  <si>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</si>
  <si>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</si>
  <si>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</si>
  <si>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</si>
  <si>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</si>
  <si>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</si>
  <si>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</si>
  <si>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</si>
  <si>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</si>
  <si>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</si>
  <si>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</si>
  <si>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</si>
  <si>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</si>
  <si>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</si>
  <si>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</si>
  <si>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</si>
  <si>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</si>
  <si>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</si>
  <si>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</si>
  <si>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</si>
  <si>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</si>
  <si>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</si>
  <si>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</si>
  <si>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</si>
  <si>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</si>
  <si>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</si>
  <si>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</si>
  <si>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</si>
  <si>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</si>
  <si>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</si>
  <si>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</si>
  <si>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</si>
  <si>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</si>
  <si>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</si>
  <si>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</si>
  <si>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</si>
  <si>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</si>
  <si>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</si>
  <si>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</si>
  <si>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</si>
  <si>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</si>
  <si>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</si>
  <si>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</si>
  <si>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</si>
  <si>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</si>
  <si>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</si>
  <si>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</si>
  <si>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</si>
  <si>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</si>
  <si>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</si>
  <si>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</si>
  <si>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</si>
  <si>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</si>
  <si>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</si>
  <si>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</si>
  <si>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</si>
  <si>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</si>
  <si>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</si>
  <si>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</si>
  <si>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</si>
  <si>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</si>
  <si>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</si>
  <si>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</si>
  <si>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</si>
  <si>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</si>
  <si>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</si>
  <si>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</si>
  <si>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</si>
  <si>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</si>
  <si>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</si>
  <si>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</si>
  <si>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</si>
  <si>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</si>
  <si>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</si>
  <si>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</si>
  <si>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</si>
  <si>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</si>
  <si>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</si>
  <si>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</si>
  <si>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</si>
  <si>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</si>
  <si>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</si>
  <si>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</si>
  <si>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</si>
  <si>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</si>
  <si>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</si>
  <si>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</si>
  <si>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</si>
  <si>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</si>
  <si>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</si>
  <si>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</si>
  <si>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</si>
  <si>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</si>
  <si>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</si>
  <si>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</si>
  <si>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</si>
  <si>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</si>
  <si>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</si>
  <si>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</si>
  <si>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</si>
  <si>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</si>
  <si>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</si>
  <si>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</si>
  <si>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</si>
  <si>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</si>
  <si>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</si>
  <si>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</si>
  <si>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</si>
  <si>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</si>
  <si>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</si>
  <si>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</si>
  <si>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</si>
  <si>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</si>
  <si>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</si>
  <si>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</si>
  <si>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</si>
  <si>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</si>
  <si>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</si>
  <si>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</si>
  <si>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</si>
  <si>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</si>
  <si>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</si>
  <si>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</si>
  <si>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</si>
  <si>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</si>
  <si>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</si>
  <si>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</si>
  <si>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</si>
  <si>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</si>
  <si>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</si>
  <si>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</si>
  <si>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</si>
  <si>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</si>
  <si>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</si>
  <si>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</si>
  <si>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</si>
  <si>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</si>
  <si>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</si>
  <si>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</si>
  <si>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</si>
  <si>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</si>
  <si>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</si>
  <si>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</si>
  <si>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</si>
  <si>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</si>
  <si>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</si>
  <si>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</si>
  <si>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</si>
  <si>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</si>
  <si>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</si>
  <si>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</si>
  <si>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</si>
  <si>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</si>
  <si>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</si>
  <si>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</si>
  <si>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</si>
  <si>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</si>
  <si>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</si>
  <si>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</si>
  <si>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</si>
  <si>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</si>
  <si>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</si>
  <si>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</si>
  <si>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</si>
  <si>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</si>
  <si>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</si>
  <si>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</si>
  <si>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</si>
  <si>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</si>
  <si>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</si>
  <si>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</si>
  <si>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</si>
  <si>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</si>
  <si>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</si>
  <si>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</si>
  <si>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</si>
  <si>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</si>
  <si>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</si>
  <si>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</si>
  <si>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</si>
  <si>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</si>
  <si>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</si>
  <si>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</si>
  <si>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</si>
  <si>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</si>
  <si>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</si>
  <si>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</si>
  <si>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</si>
  <si>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</si>
  <si>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</si>
  <si>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</si>
  <si>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</si>
  <si>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</si>
  <si>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</si>
  <si>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</si>
  <si>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</si>
  <si>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</si>
  <si>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</si>
  <si>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</si>
  <si>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</si>
  <si>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</si>
  <si>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</si>
  <si>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</si>
  <si>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</si>
  <si>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</si>
  <si>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</si>
  <si>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</si>
  <si>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</si>
  <si>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</si>
  <si>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</si>
  <si>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</si>
  <si>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</si>
  <si>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</si>
  <si>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</si>
  <si>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</si>
  <si>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</si>
  <si>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</si>
  <si>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</si>
  <si>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</si>
  <si>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</si>
  <si>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</si>
  <si>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</si>
  <si>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</si>
  <si>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</si>
  <si>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</si>
  <si>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</si>
  <si>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</si>
  <si>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</si>
  <si>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</si>
  <si>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</si>
  <si>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</si>
  <si>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</si>
  <si>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</si>
  <si>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</si>
  <si>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</si>
  <si>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</si>
  <si>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</si>
  <si>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</si>
  <si>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</si>
  <si>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</si>
  <si>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</si>
  <si>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</si>
  <si>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</si>
  <si>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</si>
  <si>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</si>
  <si>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</si>
  <si>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</si>
  <si>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</si>
  <si>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</si>
  <si>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</si>
  <si>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</si>
  <si>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</si>
  <si>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</si>
  <si>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</si>
  <si>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</si>
  <si>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</si>
  <si>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</si>
  <si>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</si>
  <si>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</si>
  <si>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</si>
  <si>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</si>
  <si>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</si>
  <si>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</si>
  <si>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</si>
  <si>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</si>
  <si>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</si>
  <si>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</si>
  <si>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</si>
  <si>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</si>
  <si>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</si>
  <si>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</si>
  <si>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</si>
  <si>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</si>
  <si>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</si>
  <si>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</si>
  <si>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</si>
  <si>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</si>
  <si>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</si>
  <si>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</si>
  <si>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</si>
  <si>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</si>
  <si>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</si>
  <si>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</si>
  <si>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</si>
  <si>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</si>
  <si>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</si>
  <si>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</si>
  <si>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</si>
  <si>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</si>
  <si>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</si>
  <si>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</si>
  <si>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</si>
  <si>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</si>
  <si>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</si>
  <si>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</si>
  <si>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</si>
  <si>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</si>
  <si>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</si>
  <si>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</si>
  <si>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</si>
  <si>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</si>
  <si>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</si>
  <si>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</si>
  <si>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</si>
  <si>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</si>
  <si>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</si>
  <si>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</si>
  <si>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</si>
  <si>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</si>
  <si>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</si>
  <si>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</si>
  <si>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</si>
  <si>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</si>
  <si>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</si>
  <si>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</si>
  <si>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</si>
  <si>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</si>
  <si>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</si>
  <si>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</si>
  <si>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</si>
  <si>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</si>
  <si>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</si>
  <si>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</si>
  <si>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</si>
  <si>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</si>
  <si>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</si>
  <si>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</si>
  <si>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</si>
  <si>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</si>
  <si>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</si>
  <si>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</si>
  <si>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</si>
  <si>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</si>
  <si>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</si>
  <si>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</si>
  <si>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</si>
  <si>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</si>
  <si>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</si>
  <si>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</si>
  <si>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</si>
  <si>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</si>
  <si>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</si>
  <si>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</si>
  <si>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</si>
  <si>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</si>
  <si>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</si>
  <si>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</si>
  <si>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</si>
  <si>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</si>
  <si>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</si>
  <si>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</si>
  <si>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</si>
  <si>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</si>
  <si>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</si>
  <si>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</si>
  <si>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</si>
  <si>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</si>
  <si>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</si>
  <si>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</si>
  <si>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</si>
  <si>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</si>
  <si>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</si>
  <si>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</si>
  <si>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</si>
  <si>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</si>
  <si>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</si>
  <si>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</si>
  <si>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</si>
  <si>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</si>
  <si>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</si>
  <si>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</si>
  <si>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</si>
  <si>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</si>
  <si>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</si>
  <si>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</si>
  <si>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</si>
  <si>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</si>
  <si>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</si>
  <si>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</si>
  <si>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</si>
  <si>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</si>
  <si>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</si>
  <si>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</si>
  <si>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</si>
  <si>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</si>
  <si>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</si>
  <si>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</si>
  <si>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</si>
  <si>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</si>
  <si>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</si>
  <si>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</si>
  <si>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</si>
  <si>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</si>
  <si>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</si>
  <si>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</si>
  <si>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</si>
  <si>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</si>
  <si>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</si>
  <si>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</si>
  <si>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</si>
  <si>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</si>
  <si>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</si>
  <si>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</si>
  <si>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</si>
  <si>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</si>
  <si>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</si>
  <si>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</si>
  <si>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</si>
  <si>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</si>
  <si>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</si>
  <si>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</si>
  <si>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</si>
  <si>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</si>
  <si>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</si>
  <si>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</si>
  <si>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</si>
  <si>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</si>
  <si>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</si>
  <si>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</si>
  <si>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</si>
  <si>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</si>
  <si>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</si>
  <si>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</si>
  <si>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</si>
  <si>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</si>
  <si>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</si>
  <si>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</si>
  <si>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</si>
  <si>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</si>
  <si>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</si>
  <si>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</si>
  <si>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</si>
  <si>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</si>
  <si>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</si>
  <si>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</si>
  <si>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</si>
  <si>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</si>
  <si>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</si>
  <si>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</si>
  <si>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</si>
  <si>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</si>
  <si>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</si>
  <si>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</si>
  <si>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</si>
  <si>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</si>
  <si>
    <t>OLIVIA C</t>
  </si>
  <si>
    <t>MEGAN N</t>
  </si>
  <si>
    <t>MRS STUTLEY</t>
  </si>
  <si>
    <t>JAY JAY</t>
  </si>
  <si>
    <t>EDWARD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</si>
</sst>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36"/>
  <sheetViews>
    <sheetView tabSelected="1" topLeftCell="AD150" workbookViewId="0">
      <selection activeCell="A215" sqref="A215:XFD215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2)'!BI9,'Run distances (Term 3)'!BI5,'Run distances (Term 4)'!BI6))</f>
        <v>2.6999999999999997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2)'!BI10,'Run distances (Term 3)'!BI6,'Run distances (Term 4)'!BI7))</f>
        <v>1.5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2)'!BI11,'Run distances (Term 3)'!BI7,'Run distances (Term 4)'!BI8))</f>
        <v>0.3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2)'!BI12,'Run distances (Term 3)'!BI8,'Run distances (Term 4)'!BI9))</f>
        <v>9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2)'!BI13,'Run distances (Term 3)'!BI9,'Run distances (Term 4)'!BI10))</f>
        <v>2.7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3)'!BI6,'Run distances (Term 4)'!BI10))</f>
        <v>9.6</v>
      </c>
      <c r="BE10" s="47">
        <f t="shared" ref="BE10:BE87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3)'!BI7,'Run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3)'!BI9,'Run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3)'!BI10,'Run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3)'!BI11,'Run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3)'!BI12,'Run distances (Term 4)'!BI16))</f>
        <v>1.5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3)'!BI13,'Run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3)'!BI14,'Run distances (Term 4)'!BI18))</f>
        <v>7.1999999999999993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3)'!BI15,'Run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3)'!BI16,'Run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3)'!BI17,'Run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3)'!BI18,'Run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3)'!BI19,'Run distances (Term 4)'!BI23))</f>
        <v>6.8999999999999995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3)'!BI20,'Run distances (Term 4)'!BI24))</f>
        <v>5.9999999999999991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3)'!BI21,'Run distances (Term 4)'!BI25))</f>
        <v>25.5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3)'!BI22,'Run distances (Term 4)'!BI26))</f>
        <v>5.7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3)'!BI23,'Run distances (Term 4)'!BI27))</f>
        <v>18.3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3)'!BI24,'Run distances (Term 4)'!BI28))</f>
        <v>18.899999999999999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3)'!BI25,'Run distances (Term 4)'!BI29))</f>
        <v>2.0999999999999996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3)'!BI26,'Run distances (Term 4)'!BI30))</f>
        <v>3.9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3)'!BI25,'Run distances (Term 4)'!BI31))</f>
        <v>18.599999999999998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3)'!BI26,'Run distances (Term 4)'!BI32))</f>
        <v>40.5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3)'!BI27,'Run distances (Term 4)'!BI33))</f>
        <v>25.799999999999997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3)'!BI28,'Run distances (Term 4)'!BI34))</f>
        <v>19.2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3)'!BI29,'Run distances (Term 4)'!BI35))</f>
        <v>10.8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3)'!BI30,'Run distances (Term 4)'!BI36))</f>
        <v>13.2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3)'!BI31,'Run distances (Term 4)'!BI37))</f>
        <v>10.799999999999999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3)'!BI32,'Run distances (Term 4)'!BI38))</f>
        <v>13.5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3)'!BI33,'Run distances (Term 4)'!BI39))</f>
        <v>15.299999999999999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3)'!BI34,'Run distances (Term 4)'!BI40))</f>
        <v>11.7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3)'!BI35,'Run distances (Term 4)'!BI41))</f>
        <v>56.4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3)'!BI36,'Run distances (Term 4)'!BI42))</f>
        <v>19.5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3)'!BI37,'Run distances (Term 4)'!BI43))</f>
        <v>13.799999999999999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3)'!BI38,'Run distances (Term 4)'!BI44))</f>
        <v>48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3)'!BI39,'Run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3)'!BI40,'Run distances (Term 4)'!BI46))</f>
        <v>13.5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3)'!BI41,'Run distances (Term 4)'!BI47))</f>
        <v>7.8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3)'!BI42,'Run distances (Term 4)'!BI48))</f>
        <v>28.2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3)'!BI43,'Run distances (Term 4)'!BI49))</f>
        <v>22.799999999999997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2)'!BI51,'Run distances (Term 3)'!BI44,'Run distances (Term 4)'!BI50))</f>
        <v>3.3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2)'!BI52,'Run distances (Term 3)'!BI45,'Run distances (Term 4)'!BI51))</f>
        <v>0.3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2)'!BI53,'Run distances (Term 3)'!BI46,'Run distances (Term 4)'!BI52))</f>
        <v>0.6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2)'!BI54,'Run distances (Term 3)'!BI47,'Run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2)'!BI55,'Run distances (Term 3)'!BI48,'Run distances (Term 4)'!BI54))</f>
        <v>39.6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2)'!BI56,'Run distances (Term 3)'!BI49,'Run distances (Term 4)'!BI55))</f>
        <v>129.9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09" si="7">SUM(E56:BA56)</f>
        <v>190</v>
      </c>
      <c r="BD56" s="47">
        <f>(SUM(BE56,'Run distances (Term 2)'!BI57,'Run distances (Term 3)'!BI50,'Run distances (Term 4)'!BI56))</f>
        <v>85.2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2)'!BI58,'Run distances (Term 3)'!BI51,'Run distances (Term 4)'!BI57))</f>
        <v>37.199999999999996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2)'!BI59,'Run distances (Term 3)'!BI52,'Run distances (Term 4)'!BI58))</f>
        <v>13.2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2)'!BI60,'Run distances (Term 3)'!BI53,'Run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2)'!BI61,'Run distances (Term 3)'!BI54,'Run distances (Term 4)'!BI60))</f>
        <v>8.4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2)'!BI62,'Run distances (Term 3)'!BI55,'Run distances (Term 4)'!BI61))</f>
        <v>5.0999999999999996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2)'!BI63,'Run distances (Term 3)'!BI56,'Run distances (Term 4)'!BI62))</f>
        <v>0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2)'!BI64,'Run distances (Term 3)'!BI57,'Run distances (Term 4)'!BI63))</f>
        <v>0.3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2)'!BI65,'Run distances (Term 3)'!BI58,'Run distances (Term 4)'!BI64))</f>
        <v>22.5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2)'!BI66,'Run distances (Term 3)'!BI59,'Run distances (Term 4)'!BI65))</f>
        <v>5.4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2)'!BI67,'Run distances (Term 3)'!BI60,'Run distances (Term 4)'!BI66))</f>
        <v>3.3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2)'!BI68,'Run distances (Term 3)'!BI61,'Run distances (Term 4)'!BI67))</f>
        <v>9.3000000000000007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3)'!BI60,'Run distances (Term 4)'!BI68))</f>
        <v>28.8</v>
      </c>
      <c r="BE68" s="47">
        <f t="shared" si="3"/>
        <v>14.1</v>
      </c>
    </row>
    <row r="69" spans="1:57" x14ac:dyDescent="0.25">
      <c r="A69" s="44" t="s">
        <v>223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3)'!BI61,'Run distances (Term 4)'!BI69))</f>
        <v>34.799999999999997</v>
      </c>
      <c r="BE69" s="47">
        <f t="shared" si="3"/>
        <v>15.899999999999999</v>
      </c>
    </row>
    <row r="70" spans="1:57" x14ac:dyDescent="0.25">
      <c r="A70" s="44" t="s">
        <v>222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3)'!BI62,'Run distances (Term 4)'!BI70))</f>
        <v>5.6999999999999993</v>
      </c>
      <c r="BE70" s="47">
        <f t="shared" si="3"/>
        <v>1.7999999999999998</v>
      </c>
    </row>
    <row r="71" spans="1:57" x14ac:dyDescent="0.25">
      <c r="A71" s="44" t="s">
        <v>221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3)'!BI63,'Run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3)'!BI64,'Run distances (Term 4)'!BI72))</f>
        <v>40.200000000000003</v>
      </c>
      <c r="BE72" s="47">
        <f t="shared" si="3"/>
        <v>9.9</v>
      </c>
    </row>
    <row r="73" spans="1:57" x14ac:dyDescent="0.25">
      <c r="A73" s="44" t="s">
        <v>426</v>
      </c>
      <c r="B73" s="45"/>
      <c r="C73" s="44" t="s">
        <v>49</v>
      </c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3)'!BI65,'Run distances (Term 4)'!BI73))</f>
        <v>3.9</v>
      </c>
      <c r="BE73" s="47">
        <f t="shared" si="3"/>
        <v>0</v>
      </c>
    </row>
    <row r="74" spans="1:57" x14ac:dyDescent="0.25">
      <c r="A74" s="44" t="s">
        <v>425</v>
      </c>
      <c r="B74" s="45"/>
      <c r="C74" s="44" t="s">
        <v>49</v>
      </c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3)'!BI66,'Run distances (Term 4)'!BI74))</f>
        <v>0.89999999999999991</v>
      </c>
      <c r="BE74" s="47">
        <f t="shared" si="3"/>
        <v>0</v>
      </c>
    </row>
    <row r="75" spans="1:57" x14ac:dyDescent="0.25">
      <c r="A75" s="44" t="s">
        <v>427</v>
      </c>
      <c r="B75" s="45"/>
      <c r="C75" s="44" t="s">
        <v>49</v>
      </c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3)'!BI67,'Run distances (Term 4)'!BI75))</f>
        <v>2.4</v>
      </c>
      <c r="BE75" s="47">
        <f t="shared" si="3"/>
        <v>0</v>
      </c>
    </row>
    <row r="76" spans="1:57" x14ac:dyDescent="0.25">
      <c r="A76" s="44" t="s">
        <v>428</v>
      </c>
      <c r="B76" s="45"/>
      <c r="C76" s="44" t="s">
        <v>49</v>
      </c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3)'!BI68,'Run distances (Term 4)'!BI76))</f>
        <v>0.3</v>
      </c>
      <c r="BE76" s="47">
        <f t="shared" si="3"/>
        <v>0</v>
      </c>
    </row>
    <row r="77" spans="1:57" x14ac:dyDescent="0.25">
      <c r="A77" s="44" t="s">
        <v>420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3)'!BI69,'Run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2" si="10">SUM(E78:BA78)</f>
        <v>14</v>
      </c>
      <c r="BD78" s="47">
        <f>(SUM(BE78,'Run distances (Term 2)'!BI78,'Run distances (Term 3)'!BI69,'Run distances (Term 4)'!BI78))</f>
        <v>8.4</v>
      </c>
      <c r="BE78" s="47">
        <f t="shared" ref="BE78:BE82" si="11">(SUM(E78:BB78)*$D$2)</f>
        <v>4.2</v>
      </c>
    </row>
    <row r="79" spans="1:57" x14ac:dyDescent="0.25">
      <c r="A79" s="44" t="s">
        <v>444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2)'!BI80,'Run distances (Term 3)'!BI69,'Run distances (Term 4)'!BI80))</f>
        <v>3.5999999999999996</v>
      </c>
      <c r="BE79" s="47">
        <f t="shared" si="11"/>
        <v>0</v>
      </c>
    </row>
    <row r="80" spans="1:57" x14ac:dyDescent="0.25">
      <c r="A80" s="44" t="s">
        <v>445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3)'!BI69,'Run distances (Term 4)'!BI80))</f>
        <v>3.5999999999999996</v>
      </c>
      <c r="BE80" s="47">
        <f t="shared" si="11"/>
        <v>0</v>
      </c>
    </row>
    <row r="81" spans="1:57" x14ac:dyDescent="0.25">
      <c r="A81" s="44" t="s">
        <v>446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10"/>
        <v>0</v>
      </c>
      <c r="BD81" s="47">
        <f>(SUM(BE81,'Run distances (Term 2)'!BI81,'Run distances (Term 3)'!BI69,'Run distances (Term 4)'!BI81))</f>
        <v>0.6</v>
      </c>
      <c r="BE81" s="47">
        <f t="shared" si="11"/>
        <v>0</v>
      </c>
    </row>
    <row r="82" spans="1:57" x14ac:dyDescent="0.25">
      <c r="A82" s="44" t="s">
        <v>451</v>
      </c>
      <c r="B82" s="45"/>
      <c r="C82" s="44" t="s">
        <v>49</v>
      </c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  <c r="BC82" s="46">
        <f t="shared" si="10"/>
        <v>0</v>
      </c>
      <c r="BD82" s="47">
        <f>(SUM(BE82,'Run distances (Term 2)'!BI82,'Run distances (Term 3)'!BI69,'Run distances (Term 4)'!BI82))</f>
        <v>1.2</v>
      </c>
      <c r="BE82" s="47">
        <f t="shared" si="11"/>
        <v>0</v>
      </c>
    </row>
    <row r="83" spans="1:57" x14ac:dyDescent="0.25">
      <c r="A83" s="44" t="s">
        <v>452</v>
      </c>
      <c r="B83" s="45"/>
      <c r="C83" s="44" t="s">
        <v>49</v>
      </c>
      <c r="E83" s="10"/>
      <c r="F83" s="11"/>
      <c r="G83" s="12"/>
      <c r="H83" s="13"/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/>
      <c r="AL83" s="13"/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7"/>
        <v>0</v>
      </c>
      <c r="BD83" s="47">
        <f>(SUM(BE83,'Run distances (Term 2)'!BI83,'Run distances (Term 3)'!BI70,'Run distances (Term 4)'!BI83))</f>
        <v>0.6</v>
      </c>
      <c r="BE83" s="47">
        <f t="shared" si="3"/>
        <v>0</v>
      </c>
    </row>
    <row r="84" spans="1:57" x14ac:dyDescent="0.25">
      <c r="E84" s="10"/>
      <c r="F84" s="11"/>
      <c r="G84" s="12"/>
      <c r="H84" s="13"/>
      <c r="J84" s="6"/>
      <c r="K84" s="7"/>
      <c r="L84" s="8"/>
      <c r="M84" s="9"/>
      <c r="O84" s="10"/>
      <c r="P84" s="11"/>
      <c r="Q84" s="12"/>
      <c r="R84" s="13"/>
      <c r="T84" s="6"/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/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</row>
    <row r="85" spans="1:57" x14ac:dyDescent="0.25">
      <c r="A85" s="42" t="s">
        <v>219</v>
      </c>
      <c r="B85" s="43">
        <v>1</v>
      </c>
      <c r="C85" s="42" t="s">
        <v>64</v>
      </c>
      <c r="D85" t="s">
        <v>52</v>
      </c>
      <c r="E85" s="10">
        <v>0</v>
      </c>
      <c r="F85" s="11">
        <v>0</v>
      </c>
      <c r="G85" s="12">
        <v>3</v>
      </c>
      <c r="H85" s="13">
        <v>1</v>
      </c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>
        <v>3</v>
      </c>
      <c r="AL85" s="13">
        <v>1</v>
      </c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8</v>
      </c>
      <c r="BD85" s="47">
        <f>(SUM(BE85,'Run distances (Term 2)'!BI85,'Run distances (Term 3)'!BI68,'Run distances (Term 4)'!BI85))</f>
        <v>2.4</v>
      </c>
      <c r="BE85" s="47">
        <f t="shared" si="3"/>
        <v>2.4</v>
      </c>
    </row>
    <row r="86" spans="1:57" x14ac:dyDescent="0.25">
      <c r="A86" s="42" t="s">
        <v>218</v>
      </c>
      <c r="B86" s="43">
        <v>1</v>
      </c>
      <c r="C86" s="42" t="s">
        <v>64</v>
      </c>
      <c r="D86" t="s">
        <v>52</v>
      </c>
      <c r="E86" s="10">
        <v>0</v>
      </c>
      <c r="F86" s="11">
        <v>0</v>
      </c>
      <c r="G86" s="12">
        <v>0</v>
      </c>
      <c r="H86" s="13">
        <v>1</v>
      </c>
      <c r="J86" s="6"/>
      <c r="K86" s="7"/>
      <c r="L86" s="8"/>
      <c r="M86" s="9">
        <v>2</v>
      </c>
      <c r="O86" s="10"/>
      <c r="P86" s="11"/>
      <c r="Q86" s="12"/>
      <c r="R86" s="13"/>
      <c r="T86" s="6">
        <v>1</v>
      </c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>
        <v>1</v>
      </c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  <c r="BC86" s="46">
        <f t="shared" si="7"/>
        <v>5</v>
      </c>
      <c r="BD86" s="47">
        <f>(SUM(BE86,'Run distances (Term 2)'!BI86,'Run distances (Term 3)'!BI68,'Run distances (Term 4)'!BI86))</f>
        <v>4.5</v>
      </c>
      <c r="BE86" s="47">
        <f t="shared" si="3"/>
        <v>1.5</v>
      </c>
    </row>
    <row r="87" spans="1:57" x14ac:dyDescent="0.25">
      <c r="A87" s="42" t="s">
        <v>362</v>
      </c>
      <c r="B87" s="43">
        <v>1</v>
      </c>
      <c r="C87" s="42" t="s">
        <v>64</v>
      </c>
      <c r="D87" t="s">
        <v>52</v>
      </c>
      <c r="E87" s="10">
        <v>0</v>
      </c>
      <c r="F87" s="11">
        <v>0</v>
      </c>
      <c r="G87" s="12">
        <v>0</v>
      </c>
      <c r="H87" s="13"/>
      <c r="J87" s="6"/>
      <c r="K87" s="7"/>
      <c r="L87" s="8"/>
      <c r="M87" s="9"/>
      <c r="O87" s="10"/>
      <c r="P87" s="11"/>
      <c r="Q87" s="12"/>
      <c r="R87" s="13"/>
      <c r="T87" s="6"/>
      <c r="U87" s="7"/>
      <c r="V87" s="8"/>
      <c r="W87" s="9"/>
      <c r="Y87" s="10"/>
      <c r="Z87" s="11"/>
      <c r="AA87" s="12"/>
      <c r="AB87" s="13"/>
      <c r="AD87" s="6"/>
      <c r="AE87" s="7"/>
      <c r="AF87" s="8"/>
      <c r="AG87" s="9"/>
      <c r="AI87" s="10"/>
      <c r="AJ87" s="11"/>
      <c r="AK87" s="12"/>
      <c r="AL87" s="13">
        <v>1</v>
      </c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1</v>
      </c>
      <c r="BD87" s="47">
        <f>(SUM(BE87,'Run distances (Term 2)'!BI87,'Run distances (Term 3)'!BI69,'Run distances (Term 4)'!BI87))</f>
        <v>0.89999999999999991</v>
      </c>
      <c r="BE87" s="47">
        <f t="shared" si="3"/>
        <v>0.3</v>
      </c>
    </row>
    <row r="88" spans="1:57" x14ac:dyDescent="0.25">
      <c r="A88" s="42" t="s">
        <v>217</v>
      </c>
      <c r="B88" s="43">
        <v>2</v>
      </c>
      <c r="C88" s="42" t="s">
        <v>64</v>
      </c>
      <c r="D88" t="s">
        <v>52</v>
      </c>
      <c r="E88" s="10"/>
      <c r="F88" s="11"/>
      <c r="G88" s="12"/>
      <c r="H88" s="13"/>
      <c r="J88" s="6"/>
      <c r="K88" s="7"/>
      <c r="L88" s="8"/>
      <c r="M88" s="9"/>
      <c r="O88" s="10"/>
      <c r="P88" s="11"/>
      <c r="Q88" s="12"/>
      <c r="R88" s="13"/>
      <c r="T88" s="6"/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/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0</v>
      </c>
      <c r="BD88" s="47">
        <f>(SUM(BE88,'Run distances (Term 2)'!BI88,'Run distances (Term 3)'!BI70,'Run distances (Term 4)'!BI88))</f>
        <v>0</v>
      </c>
      <c r="BE88" s="47">
        <f t="shared" ref="BE88:BE172" si="12">(SUM(E88:BB88)*$D$2)</f>
        <v>0</v>
      </c>
    </row>
    <row r="89" spans="1:57" x14ac:dyDescent="0.25">
      <c r="A89" s="42" t="s">
        <v>216</v>
      </c>
      <c r="B89" s="43">
        <v>2</v>
      </c>
      <c r="C89" s="42" t="s">
        <v>64</v>
      </c>
      <c r="D89" t="s">
        <v>52</v>
      </c>
      <c r="E89" s="10">
        <v>2</v>
      </c>
      <c r="F89" s="11">
        <v>0</v>
      </c>
      <c r="G89" s="12">
        <v>2</v>
      </c>
      <c r="H89" s="13">
        <v>0</v>
      </c>
      <c r="J89" s="6"/>
      <c r="K89" s="7"/>
      <c r="L89" s="8"/>
      <c r="M89" s="9"/>
      <c r="O89" s="10">
        <v>2</v>
      </c>
      <c r="P89" s="11">
        <v>1</v>
      </c>
      <c r="Q89" s="12"/>
      <c r="R89" s="13"/>
      <c r="T89" s="6"/>
      <c r="U89" s="7"/>
      <c r="V89" s="8"/>
      <c r="W89" s="9"/>
      <c r="Y89" s="10"/>
      <c r="Z89" s="11">
        <v>2</v>
      </c>
      <c r="AA89" s="12"/>
      <c r="AB89" s="13"/>
      <c r="AD89" s="6"/>
      <c r="AE89" s="7"/>
      <c r="AF89" s="8"/>
      <c r="AG89" s="9"/>
      <c r="AI89" s="10"/>
      <c r="AJ89" s="11"/>
      <c r="AK89" s="12"/>
      <c r="AL89" s="13"/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9</v>
      </c>
      <c r="BD89" s="47">
        <f>(SUM(BE89,'Run distances (Term 2)'!BI89,'Run distances (Term 3)'!BI71,'Run distances (Term 4)'!BI89))</f>
        <v>4.8</v>
      </c>
      <c r="BE89" s="47">
        <f t="shared" si="12"/>
        <v>2.6999999999999997</v>
      </c>
    </row>
    <row r="90" spans="1:57" x14ac:dyDescent="0.25">
      <c r="A90" s="42" t="s">
        <v>215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>
        <v>1</v>
      </c>
      <c r="M90" s="9">
        <v>1</v>
      </c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2</v>
      </c>
      <c r="BD90" s="47">
        <f>(SUM(BE90,'Run distances (Term 2)'!BI90,'Run distances (Term 3)'!BI72,'Run distances (Term 4)'!BI90))</f>
        <v>2.7</v>
      </c>
      <c r="BE90" s="47">
        <f t="shared" si="12"/>
        <v>0.6</v>
      </c>
    </row>
    <row r="91" spans="1:57" x14ac:dyDescent="0.25">
      <c r="A91" s="42" t="s">
        <v>214</v>
      </c>
      <c r="B91" s="43">
        <v>2</v>
      </c>
      <c r="C91" s="42" t="s">
        <v>64</v>
      </c>
      <c r="D91" t="s">
        <v>52</v>
      </c>
      <c r="E91" s="10">
        <v>0</v>
      </c>
      <c r="F91" s="11">
        <v>0</v>
      </c>
      <c r="G91" s="12">
        <v>0</v>
      </c>
      <c r="H91" s="13">
        <v>2</v>
      </c>
      <c r="J91" s="6"/>
      <c r="K91" s="7"/>
      <c r="L91" s="8"/>
      <c r="M91" s="9"/>
      <c r="O91" s="10"/>
      <c r="P91" s="11"/>
      <c r="Q91" s="12"/>
      <c r="R91" s="13"/>
      <c r="T91" s="6"/>
      <c r="U91" s="7"/>
      <c r="V91" s="8"/>
      <c r="W91" s="9"/>
      <c r="Y91" s="10"/>
      <c r="Z91" s="11"/>
      <c r="AA91" s="12"/>
      <c r="AB91" s="13"/>
      <c r="AD91" s="6"/>
      <c r="AE91" s="7"/>
      <c r="AF91" s="8"/>
      <c r="AG91" s="9"/>
      <c r="AI91" s="10"/>
      <c r="AJ91" s="11"/>
      <c r="AK91" s="12"/>
      <c r="AL91" s="13"/>
      <c r="AN91" s="6"/>
      <c r="AO91" s="7"/>
      <c r="AP91" s="8"/>
      <c r="AQ91" s="9"/>
      <c r="AS91" s="10"/>
      <c r="AT91" s="11"/>
      <c r="AU91" s="12"/>
      <c r="AV91" s="13"/>
      <c r="AX91" s="6"/>
      <c r="AY91" s="7"/>
      <c r="AZ91" s="8"/>
      <c r="BA91" s="9"/>
      <c r="BC91" s="46">
        <f t="shared" si="7"/>
        <v>2</v>
      </c>
      <c r="BD91" s="47">
        <f>(SUM(BE91,'Run distances (Term 2)'!BI91,'Run distances (Term 3)'!BI73,'Run distances (Term 4)'!BI91))</f>
        <v>0.89999999999999991</v>
      </c>
      <c r="BE91" s="47">
        <f t="shared" si="12"/>
        <v>0.6</v>
      </c>
    </row>
    <row r="92" spans="1:57" x14ac:dyDescent="0.25">
      <c r="A92" s="42" t="s">
        <v>213</v>
      </c>
      <c r="B92" s="43">
        <v>2</v>
      </c>
      <c r="C92" s="42" t="s">
        <v>64</v>
      </c>
      <c r="D92" t="s">
        <v>52</v>
      </c>
      <c r="E92" s="10"/>
      <c r="F92" s="11"/>
      <c r="G92" s="12"/>
      <c r="H92" s="13"/>
      <c r="J92" s="6"/>
      <c r="K92" s="7"/>
      <c r="L92" s="8"/>
      <c r="M92" s="9"/>
      <c r="O92" s="10"/>
      <c r="P92" s="11"/>
      <c r="Q92" s="12"/>
      <c r="R92" s="13"/>
      <c r="T92" s="6"/>
      <c r="U92" s="7"/>
      <c r="V92" s="8"/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0</v>
      </c>
      <c r="BD92" s="47">
        <f>(SUM(BE92,'Run distances (Term 2)'!BI92,'Run distances (Term 3)'!BI74,'Run distances (Term 4)'!BI92))</f>
        <v>0.3</v>
      </c>
      <c r="BE92" s="47">
        <f t="shared" si="12"/>
        <v>0</v>
      </c>
    </row>
    <row r="93" spans="1:57" x14ac:dyDescent="0.25">
      <c r="A93" s="42" t="s">
        <v>212</v>
      </c>
      <c r="B93" s="43">
        <v>2</v>
      </c>
      <c r="C93" s="42" t="s">
        <v>64</v>
      </c>
      <c r="D93" t="s">
        <v>52</v>
      </c>
      <c r="E93" s="10"/>
      <c r="F93" s="11"/>
      <c r="G93" s="12"/>
      <c r="H93" s="13"/>
      <c r="J93" s="6"/>
      <c r="K93" s="7"/>
      <c r="L93" s="8"/>
      <c r="M93" s="9">
        <v>4</v>
      </c>
      <c r="O93" s="10"/>
      <c r="P93" s="11">
        <v>8</v>
      </c>
      <c r="Q93" s="12">
        <v>3</v>
      </c>
      <c r="R93" s="13">
        <v>8</v>
      </c>
      <c r="T93" s="6">
        <v>4</v>
      </c>
      <c r="U93" s="7">
        <v>3</v>
      </c>
      <c r="V93" s="8"/>
      <c r="W93" s="9"/>
      <c r="Y93" s="10">
        <v>2</v>
      </c>
      <c r="Z93" s="11">
        <v>4</v>
      </c>
      <c r="AA93" s="12"/>
      <c r="AB93" s="13"/>
      <c r="AD93" s="6"/>
      <c r="AE93" s="7">
        <v>4</v>
      </c>
      <c r="AF93" s="8">
        <v>5</v>
      </c>
      <c r="AG93" s="9"/>
      <c r="AI93" s="10"/>
      <c r="AJ93" s="11">
        <v>2</v>
      </c>
      <c r="AK93" s="12"/>
      <c r="AL93" s="13">
        <v>4</v>
      </c>
      <c r="AN93" s="6"/>
      <c r="AO93" s="7"/>
      <c r="AP93" s="8"/>
      <c r="AQ93" s="9">
        <v>2</v>
      </c>
      <c r="AS93" s="10"/>
      <c r="AT93" s="11"/>
      <c r="AU93" s="12"/>
      <c r="AV93" s="13"/>
      <c r="AX93" s="6">
        <v>3</v>
      </c>
      <c r="AY93" s="7"/>
      <c r="AZ93" s="8"/>
      <c r="BA93" s="9"/>
      <c r="BC93" s="46">
        <f t="shared" si="7"/>
        <v>56</v>
      </c>
      <c r="BD93" s="47">
        <f>(SUM(BE93,'Run distances (Term 2)'!BI93,'Run distances (Term 3)'!BI75,'Run distances (Term 4)'!BI93))</f>
        <v>34.799999999999997</v>
      </c>
      <c r="BE93" s="47">
        <f t="shared" si="12"/>
        <v>16.8</v>
      </c>
    </row>
    <row r="94" spans="1:57" x14ac:dyDescent="0.25">
      <c r="A94" s="42" t="s">
        <v>211</v>
      </c>
      <c r="B94" s="43">
        <v>10</v>
      </c>
      <c r="C94" s="42" t="s">
        <v>64</v>
      </c>
      <c r="D94" t="s">
        <v>59</v>
      </c>
      <c r="E94" s="10"/>
      <c r="F94" s="11"/>
      <c r="G94" s="12"/>
      <c r="H94" s="13"/>
      <c r="J94" s="6">
        <v>7</v>
      </c>
      <c r="K94" s="7">
        <v>5</v>
      </c>
      <c r="L94" s="8">
        <v>6</v>
      </c>
      <c r="M94" s="9"/>
      <c r="O94" s="10">
        <v>5</v>
      </c>
      <c r="P94" s="11">
        <v>10</v>
      </c>
      <c r="Q94" s="12">
        <v>10</v>
      </c>
      <c r="R94" s="13"/>
      <c r="T94" s="6">
        <v>6</v>
      </c>
      <c r="U94" s="7">
        <v>7</v>
      </c>
      <c r="V94" s="8">
        <v>6</v>
      </c>
      <c r="W94" s="9"/>
      <c r="Y94" s="10"/>
      <c r="Z94" s="11"/>
      <c r="AA94" s="12"/>
      <c r="AB94" s="13"/>
      <c r="AD94" s="6"/>
      <c r="AE94" s="7"/>
      <c r="AF94" s="8"/>
      <c r="AG94" s="9"/>
      <c r="AI94" s="10"/>
      <c r="AJ94" s="11"/>
      <c r="AK94" s="12"/>
      <c r="AL94" s="13"/>
      <c r="AN94" s="6"/>
      <c r="AO94" s="7"/>
      <c r="AP94" s="8"/>
      <c r="AQ94" s="9"/>
      <c r="AS94" s="10"/>
      <c r="AT94" s="11"/>
      <c r="AU94" s="12"/>
      <c r="AV94" s="13"/>
      <c r="AX94" s="6"/>
      <c r="AY94" s="7"/>
      <c r="AZ94" s="8"/>
      <c r="BA94" s="9"/>
      <c r="BC94" s="46">
        <f t="shared" si="7"/>
        <v>62</v>
      </c>
      <c r="BD94" s="47">
        <f>(SUM(BE94,'Run distances (Term 2)'!BI94,'Run distances (Term 3)'!BI76,'Run distances (Term 4)'!BI94))</f>
        <v>19.2</v>
      </c>
      <c r="BE94" s="47">
        <f t="shared" si="12"/>
        <v>18.599999999999998</v>
      </c>
    </row>
    <row r="95" spans="1:57" x14ac:dyDescent="0.25">
      <c r="A95" s="42" t="s">
        <v>210</v>
      </c>
      <c r="B95" s="43">
        <v>10</v>
      </c>
      <c r="C95" s="42" t="s">
        <v>64</v>
      </c>
      <c r="D95" t="s">
        <v>59</v>
      </c>
      <c r="E95" s="10"/>
      <c r="F95" s="11"/>
      <c r="G95" s="12"/>
      <c r="H95" s="13"/>
      <c r="J95" s="6">
        <v>0</v>
      </c>
      <c r="K95" s="7">
        <v>5</v>
      </c>
      <c r="L95" s="8"/>
      <c r="M95" s="9"/>
      <c r="O95" s="10"/>
      <c r="P95" s="11"/>
      <c r="Q95" s="12"/>
      <c r="R95" s="13"/>
      <c r="T95" s="6"/>
      <c r="U95" s="7"/>
      <c r="V95" s="8"/>
      <c r="W95" s="9"/>
      <c r="Y95" s="10"/>
      <c r="Z95" s="11"/>
      <c r="AA95" s="12"/>
      <c r="AB95" s="13"/>
      <c r="AD95" s="6"/>
      <c r="AE95" s="7"/>
      <c r="AF95" s="8"/>
      <c r="AG95" s="9"/>
      <c r="AI95" s="10"/>
      <c r="AJ95" s="11"/>
      <c r="AK95" s="12"/>
      <c r="AL95" s="13"/>
      <c r="AN95" s="6"/>
      <c r="AO95" s="7"/>
      <c r="AP95" s="8"/>
      <c r="AQ95" s="9"/>
      <c r="AS95" s="10"/>
      <c r="AT95" s="11"/>
      <c r="AU95" s="12"/>
      <c r="AV95" s="13"/>
      <c r="AX95" s="6"/>
      <c r="AY95" s="7"/>
      <c r="AZ95" s="8"/>
      <c r="BA95" s="9"/>
      <c r="BC95" s="46">
        <f t="shared" ref="BC95" si="13">SUM(E95:BA95)</f>
        <v>5</v>
      </c>
      <c r="BD95" s="47">
        <f>(SUM(BE95,'Run distances (Term 2)'!BI95,'Run distances (Term 3)'!BI77,'Run distances (Term 4)'!BI95))</f>
        <v>2.4</v>
      </c>
      <c r="BE95" s="47">
        <f t="shared" si="12"/>
        <v>1.5</v>
      </c>
    </row>
    <row r="96" spans="1:57" x14ac:dyDescent="0.25">
      <c r="A96" s="42" t="s">
        <v>363</v>
      </c>
      <c r="B96" s="43">
        <v>10</v>
      </c>
      <c r="C96" s="42" t="s">
        <v>64</v>
      </c>
      <c r="D96" t="s">
        <v>59</v>
      </c>
      <c r="E96" s="10"/>
      <c r="F96" s="11"/>
      <c r="G96" s="12"/>
      <c r="H96" s="13"/>
      <c r="J96" s="6">
        <v>0</v>
      </c>
      <c r="K96" s="7"/>
      <c r="L96" s="8"/>
      <c r="M96" s="9"/>
      <c r="O96" s="10"/>
      <c r="P96" s="11"/>
      <c r="Q96" s="12"/>
      <c r="R96" s="13"/>
      <c r="T96" s="6"/>
      <c r="U96" s="7"/>
      <c r="V96" s="8"/>
      <c r="W96" s="9"/>
      <c r="Y96" s="10"/>
      <c r="Z96" s="11">
        <v>2</v>
      </c>
      <c r="AA96" s="12">
        <v>2</v>
      </c>
      <c r="AB96" s="13"/>
      <c r="AD96" s="6"/>
      <c r="AE96" s="7"/>
      <c r="AF96" s="8">
        <v>3</v>
      </c>
      <c r="AG96" s="9">
        <v>5</v>
      </c>
      <c r="AI96" s="10">
        <v>4</v>
      </c>
      <c r="AJ96" s="11">
        <v>4</v>
      </c>
      <c r="AK96" s="12"/>
      <c r="AL96" s="13"/>
      <c r="AN96" s="6"/>
      <c r="AO96" s="7"/>
      <c r="AP96" s="8"/>
      <c r="AQ96" s="9"/>
      <c r="AS96" s="10"/>
      <c r="AT96" s="11">
        <v>3</v>
      </c>
      <c r="AU96" s="12"/>
      <c r="AV96" s="13"/>
      <c r="AX96" s="6"/>
      <c r="AY96" s="7"/>
      <c r="AZ96" s="8"/>
      <c r="BA96" s="9"/>
      <c r="BC96" s="46">
        <f t="shared" si="7"/>
        <v>23</v>
      </c>
      <c r="BD96" s="47">
        <f>(SUM(BE96,'Run distances (Term 2)'!BI96,'Run distances (Term 3)'!BI78,'Run distances (Term 4)'!BI96))</f>
        <v>7.1999999999999993</v>
      </c>
      <c r="BE96" s="47">
        <f t="shared" si="12"/>
        <v>6.8999999999999995</v>
      </c>
    </row>
    <row r="97" spans="1:57" x14ac:dyDescent="0.25">
      <c r="A97" s="42" t="s">
        <v>208</v>
      </c>
      <c r="B97" s="43">
        <v>10</v>
      </c>
      <c r="C97" s="42" t="s">
        <v>64</v>
      </c>
      <c r="D97" t="s">
        <v>59</v>
      </c>
      <c r="E97" s="10"/>
      <c r="F97" s="11"/>
      <c r="G97" s="12"/>
      <c r="H97" s="13"/>
      <c r="J97" s="6">
        <v>0</v>
      </c>
      <c r="K97" s="7">
        <v>1</v>
      </c>
      <c r="L97" s="8"/>
      <c r="M97" s="9"/>
      <c r="O97" s="10"/>
      <c r="P97" s="11"/>
      <c r="Q97" s="12"/>
      <c r="R97" s="13"/>
      <c r="T97" s="6"/>
      <c r="U97" s="7">
        <v>2</v>
      </c>
      <c r="V97" s="8"/>
      <c r="W97" s="9"/>
      <c r="Y97" s="10"/>
      <c r="Z97" s="11">
        <v>2</v>
      </c>
      <c r="AA97" s="12">
        <v>2</v>
      </c>
      <c r="AB97" s="13"/>
      <c r="AD97" s="6"/>
      <c r="AE97" s="7"/>
      <c r="AF97" s="8">
        <v>2</v>
      </c>
      <c r="AG97" s="9">
        <v>2</v>
      </c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si="7"/>
        <v>11</v>
      </c>
      <c r="BD97" s="47">
        <f>(SUM(BE97,'Run distances (Term 2)'!BI97,'Run distances (Term 3)'!BI79,'Run distances (Term 4)'!BI97))</f>
        <v>3.9</v>
      </c>
      <c r="BE97" s="47">
        <f t="shared" si="12"/>
        <v>3.3</v>
      </c>
    </row>
    <row r="98" spans="1:57" x14ac:dyDescent="0.25">
      <c r="A98" s="42" t="s">
        <v>207</v>
      </c>
      <c r="B98" s="43">
        <v>3</v>
      </c>
      <c r="C98" s="42" t="s">
        <v>64</v>
      </c>
      <c r="D98" t="s">
        <v>56</v>
      </c>
      <c r="E98" s="10">
        <v>1</v>
      </c>
      <c r="F98" s="11">
        <v>0</v>
      </c>
      <c r="G98" s="12">
        <v>0</v>
      </c>
      <c r="H98" s="13">
        <v>2</v>
      </c>
      <c r="J98" s="6"/>
      <c r="K98" s="7"/>
      <c r="L98" s="8"/>
      <c r="M98" s="9"/>
      <c r="O98" s="10">
        <v>1</v>
      </c>
      <c r="P98" s="11"/>
      <c r="Q98" s="12"/>
      <c r="R98" s="13"/>
      <c r="T98" s="6"/>
      <c r="U98" s="7"/>
      <c r="V98" s="8"/>
      <c r="W98" s="9"/>
      <c r="Y98" s="10"/>
      <c r="Z98" s="11"/>
      <c r="AA98" s="12"/>
      <c r="AB98" s="13"/>
      <c r="AD98" s="6"/>
      <c r="AE98" s="7"/>
      <c r="AF98" s="8"/>
      <c r="AG98" s="9"/>
      <c r="AI98" s="10"/>
      <c r="AJ98" s="11"/>
      <c r="AK98" s="12"/>
      <c r="AL98" s="13"/>
      <c r="AN98" s="6"/>
      <c r="AO98" s="7"/>
      <c r="AP98" s="8"/>
      <c r="AQ98" s="9"/>
      <c r="AS98" s="10"/>
      <c r="AT98" s="11"/>
      <c r="AU98" s="12"/>
      <c r="AV98" s="13"/>
      <c r="AX98" s="6"/>
      <c r="AY98" s="7"/>
      <c r="AZ98" s="8"/>
      <c r="BA98" s="9"/>
      <c r="BC98" s="46">
        <f t="shared" si="7"/>
        <v>4</v>
      </c>
      <c r="BD98" s="47">
        <f>(SUM(BE98,'Run distances (Term 2)'!BI98,'Run distances (Term 3)'!BI80,'Run distances (Term 4)'!BI98))</f>
        <v>8.6999999999999993</v>
      </c>
      <c r="BE98" s="47">
        <f t="shared" si="12"/>
        <v>1.2</v>
      </c>
    </row>
    <row r="99" spans="1:57" x14ac:dyDescent="0.25">
      <c r="A99" s="42" t="s">
        <v>364</v>
      </c>
      <c r="B99" s="43">
        <v>3</v>
      </c>
      <c r="C99" s="42" t="s">
        <v>64</v>
      </c>
      <c r="D99" t="s">
        <v>56</v>
      </c>
      <c r="E99" s="10"/>
      <c r="F99" s="11"/>
      <c r="G99" s="12"/>
      <c r="H99" s="13"/>
      <c r="J99" s="6"/>
      <c r="K99" s="7"/>
      <c r="L99" s="8"/>
      <c r="M99" s="9"/>
      <c r="O99" s="10"/>
      <c r="P99" s="11"/>
      <c r="Q99" s="12"/>
      <c r="R99" s="13"/>
      <c r="T99" s="6"/>
      <c r="U99" s="7"/>
      <c r="V99" s="8"/>
      <c r="W99" s="9"/>
      <c r="Y99" s="10"/>
      <c r="Z99" s="11"/>
      <c r="AA99" s="12"/>
      <c r="AB99" s="13"/>
      <c r="AD99" s="6"/>
      <c r="AE99" s="7"/>
      <c r="AF99" s="8"/>
      <c r="AG99" s="9"/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0</v>
      </c>
      <c r="BD99" s="47">
        <f>(SUM(BE99,'Run distances (Term 2)'!BI99,'Run distances (Term 3)'!BI81,'Run distances (Term 4)'!BI99))</f>
        <v>2.1</v>
      </c>
      <c r="BE99" s="47">
        <f t="shared" si="12"/>
        <v>0</v>
      </c>
    </row>
    <row r="100" spans="1:57" x14ac:dyDescent="0.25">
      <c r="A100" s="42" t="s">
        <v>206</v>
      </c>
      <c r="B100" s="43">
        <v>3</v>
      </c>
      <c r="C100" s="42" t="s">
        <v>64</v>
      </c>
      <c r="D100" t="s">
        <v>56</v>
      </c>
      <c r="E100" s="10">
        <v>0</v>
      </c>
      <c r="F100" s="11">
        <v>0</v>
      </c>
      <c r="G100" s="12">
        <v>0</v>
      </c>
      <c r="H100" s="13">
        <v>2</v>
      </c>
      <c r="J100" s="6"/>
      <c r="K100" s="7"/>
      <c r="L100" s="8">
        <v>1</v>
      </c>
      <c r="M100" s="9">
        <v>3</v>
      </c>
      <c r="O100" s="10">
        <v>1</v>
      </c>
      <c r="P100" s="11"/>
      <c r="Q100" s="12"/>
      <c r="R100" s="13">
        <v>1</v>
      </c>
      <c r="T100" s="6"/>
      <c r="U100" s="7"/>
      <c r="V100" s="8"/>
      <c r="W100" s="9"/>
      <c r="Y100" s="10"/>
      <c r="Z100" s="11">
        <v>4</v>
      </c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12</v>
      </c>
      <c r="BD100" s="47">
        <f>(SUM(BE100,'Run distances (Term 2)'!BI100,'Run distances (Term 3)'!BI82,'Run distances (Term 4)'!BI100))</f>
        <v>20.100000000000001</v>
      </c>
      <c r="BE100" s="47">
        <f t="shared" si="12"/>
        <v>3.5999999999999996</v>
      </c>
    </row>
    <row r="101" spans="1:57" x14ac:dyDescent="0.25">
      <c r="A101" s="42" t="s">
        <v>205</v>
      </c>
      <c r="B101" s="43">
        <v>3</v>
      </c>
      <c r="C101" s="42" t="s">
        <v>64</v>
      </c>
      <c r="D101" t="s">
        <v>56</v>
      </c>
      <c r="E101" s="10">
        <v>0</v>
      </c>
      <c r="F101" s="11">
        <v>1</v>
      </c>
      <c r="G101" s="12">
        <v>3</v>
      </c>
      <c r="H101" s="13">
        <v>4</v>
      </c>
      <c r="J101" s="6">
        <v>0</v>
      </c>
      <c r="K101" s="7">
        <v>1</v>
      </c>
      <c r="L101" s="8">
        <v>1</v>
      </c>
      <c r="M101" s="9"/>
      <c r="O101" s="10">
        <v>1</v>
      </c>
      <c r="P101" s="11">
        <v>4</v>
      </c>
      <c r="Q101" s="12">
        <v>4</v>
      </c>
      <c r="R101" s="13">
        <v>9</v>
      </c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28</v>
      </c>
      <c r="BD101" s="47">
        <f>(SUM(BE101,'Run distances (Term 2)'!BI101,'Run distances (Term 3)'!BI83,'Run distances (Term 4)'!BI101))</f>
        <v>36.6</v>
      </c>
      <c r="BE101" s="47">
        <f t="shared" si="12"/>
        <v>8.4</v>
      </c>
    </row>
    <row r="102" spans="1:57" x14ac:dyDescent="0.25">
      <c r="A102" s="42" t="s">
        <v>204</v>
      </c>
      <c r="B102" s="43">
        <v>3</v>
      </c>
      <c r="C102" s="42" t="s">
        <v>64</v>
      </c>
      <c r="D102" t="s">
        <v>56</v>
      </c>
      <c r="E102" s="10"/>
      <c r="F102" s="11"/>
      <c r="G102" s="12"/>
      <c r="H102" s="13"/>
      <c r="J102" s="6"/>
      <c r="K102" s="7"/>
      <c r="L102" s="8"/>
      <c r="M102" s="9"/>
      <c r="O102" s="10"/>
      <c r="P102" s="11"/>
      <c r="Q102" s="12"/>
      <c r="R102" s="13"/>
      <c r="T102" s="6"/>
      <c r="U102" s="7"/>
      <c r="V102" s="8"/>
      <c r="W102" s="9"/>
      <c r="Y102" s="10"/>
      <c r="Z102" s="11"/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0</v>
      </c>
      <c r="BD102" s="47">
        <f>(SUM(BE102,'Run distances (Term 2)'!BI102,'Run distances (Term 3)'!BI84,'Run distances (Term 4)'!BI102))</f>
        <v>8.4</v>
      </c>
      <c r="BE102" s="47">
        <f t="shared" si="12"/>
        <v>0</v>
      </c>
    </row>
    <row r="103" spans="1:57" x14ac:dyDescent="0.25">
      <c r="A103" s="42" t="s">
        <v>347</v>
      </c>
      <c r="B103" s="43">
        <v>3</v>
      </c>
      <c r="C103" s="42" t="s">
        <v>64</v>
      </c>
      <c r="D103" t="s">
        <v>56</v>
      </c>
      <c r="E103" s="10"/>
      <c r="F103" s="11"/>
      <c r="G103" s="12"/>
      <c r="H103" s="13"/>
      <c r="J103" s="6"/>
      <c r="K103" s="7"/>
      <c r="L103" s="8"/>
      <c r="M103" s="9"/>
      <c r="O103" s="10"/>
      <c r="P103" s="11"/>
      <c r="Q103" s="12"/>
      <c r="R103" s="13"/>
      <c r="T103" s="6"/>
      <c r="U103" s="7"/>
      <c r="V103" s="8"/>
      <c r="W103" s="9"/>
      <c r="Y103" s="10"/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si="7"/>
        <v>0</v>
      </c>
      <c r="BD103" s="47">
        <f>(SUM(BE103,'Run distances (Term 2)'!BI103,'Run distances (Term 3)'!BI85,'Run distances (Term 4)'!BI103))</f>
        <v>13.2</v>
      </c>
      <c r="BE103" s="47">
        <f t="shared" si="12"/>
        <v>0</v>
      </c>
    </row>
    <row r="104" spans="1:57" x14ac:dyDescent="0.25">
      <c r="A104" s="42" t="s">
        <v>348</v>
      </c>
      <c r="B104" s="43">
        <v>3</v>
      </c>
      <c r="C104" s="42" t="s">
        <v>64</v>
      </c>
      <c r="D104" t="s">
        <v>56</v>
      </c>
      <c r="E104" s="10"/>
      <c r="F104" s="11"/>
      <c r="G104" s="12"/>
      <c r="H104" s="13"/>
      <c r="J104" s="6"/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/>
      <c r="BC104" s="46">
        <f t="shared" si="7"/>
        <v>0</v>
      </c>
      <c r="BD104" s="47">
        <f>(SUM(BE104,'Run distances (Term 2)'!BI104,'Run distances (Term 3)'!BI86,'Run distances (Term 4)'!BI104))</f>
        <v>3</v>
      </c>
      <c r="BE104" s="47">
        <f t="shared" si="12"/>
        <v>0</v>
      </c>
    </row>
    <row r="105" spans="1:57" x14ac:dyDescent="0.25">
      <c r="A105" s="42" t="s">
        <v>203</v>
      </c>
      <c r="B105" s="43">
        <v>5</v>
      </c>
      <c r="C105" s="42" t="s">
        <v>64</v>
      </c>
      <c r="D105" t="s">
        <v>58</v>
      </c>
      <c r="E105" s="10"/>
      <c r="F105" s="11"/>
      <c r="G105" s="12"/>
      <c r="H105" s="13"/>
      <c r="J105" s="6">
        <v>0</v>
      </c>
      <c r="K105" s="7">
        <v>2</v>
      </c>
      <c r="L105" s="8"/>
      <c r="M105" s="9">
        <v>2</v>
      </c>
      <c r="O105" s="10"/>
      <c r="P105" s="11"/>
      <c r="Q105" s="12"/>
      <c r="R105" s="13"/>
      <c r="T105" s="6"/>
      <c r="U105" s="7">
        <v>1</v>
      </c>
      <c r="V105" s="8">
        <v>3</v>
      </c>
      <c r="W105" s="9">
        <v>2</v>
      </c>
      <c r="Y105" s="10">
        <v>2</v>
      </c>
      <c r="Z105" s="11"/>
      <c r="AA105" s="12"/>
      <c r="AB105" s="13"/>
      <c r="AD105" s="6"/>
      <c r="AE105" s="7"/>
      <c r="AF105" s="8"/>
      <c r="AG105" s="9"/>
      <c r="AI105" s="10"/>
      <c r="AJ105" s="11"/>
      <c r="AK105" s="12"/>
      <c r="AL105" s="13"/>
      <c r="AN105" s="6"/>
      <c r="AO105" s="7"/>
      <c r="AP105" s="8"/>
      <c r="AQ105" s="9"/>
      <c r="AS105" s="10"/>
      <c r="AT105" s="11"/>
      <c r="AU105" s="12"/>
      <c r="AV105" s="13"/>
      <c r="AX105" s="6"/>
      <c r="AY105" s="7"/>
      <c r="AZ105" s="8"/>
      <c r="BA105" s="9"/>
      <c r="BC105" s="46">
        <f t="shared" ref="BC105" si="14">SUM(E105:BA105)</f>
        <v>12</v>
      </c>
      <c r="BD105" s="47">
        <f>(SUM(BE105,'Run distances (Term 2)'!BI105,'Run distances (Term 3)'!BI87,'Run distances (Term 4)'!BI105))</f>
        <v>3.8999999999999995</v>
      </c>
      <c r="BE105" s="47">
        <f t="shared" si="12"/>
        <v>3.5999999999999996</v>
      </c>
    </row>
    <row r="106" spans="1:57" x14ac:dyDescent="0.25">
      <c r="A106" s="42" t="s">
        <v>365</v>
      </c>
      <c r="B106" s="43">
        <v>5</v>
      </c>
      <c r="C106" s="42" t="s">
        <v>64</v>
      </c>
      <c r="D106" t="s">
        <v>58</v>
      </c>
      <c r="E106" s="10"/>
      <c r="F106" s="11"/>
      <c r="G106" s="12"/>
      <c r="H106" s="13"/>
      <c r="J106" s="6">
        <v>0</v>
      </c>
      <c r="K106" s="7"/>
      <c r="L106" s="8"/>
      <c r="M106" s="9"/>
      <c r="O106" s="10"/>
      <c r="P106" s="11"/>
      <c r="Q106" s="12"/>
      <c r="R106" s="13"/>
      <c r="T106" s="6"/>
      <c r="U106" s="7"/>
      <c r="V106" s="8"/>
      <c r="W106" s="9"/>
      <c r="Y106" s="10"/>
      <c r="Z106" s="11"/>
      <c r="AA106" s="12"/>
      <c r="AB106" s="13"/>
      <c r="AD106" s="6"/>
      <c r="AE106" s="7"/>
      <c r="AF106" s="8"/>
      <c r="AG106" s="9"/>
      <c r="AI106" s="10"/>
      <c r="AJ106" s="11"/>
      <c r="AK106" s="12"/>
      <c r="AL106" s="13"/>
      <c r="AN106" s="6"/>
      <c r="AO106" s="7"/>
      <c r="AP106" s="8"/>
      <c r="AQ106" s="9"/>
      <c r="AS106" s="10"/>
      <c r="AT106" s="11"/>
      <c r="AU106" s="12"/>
      <c r="AV106" s="13"/>
      <c r="AX106" s="6"/>
      <c r="AY106" s="7"/>
      <c r="AZ106" s="8"/>
      <c r="BA106" s="9">
        <v>2</v>
      </c>
      <c r="BC106" s="46">
        <f t="shared" si="7"/>
        <v>2</v>
      </c>
      <c r="BD106" s="47">
        <f>(SUM(BE106,'Run distances (Term 2)'!BI106,'Run distances (Term 3)'!BI85,'Run distances (Term 4)'!BI106))</f>
        <v>13.499999999999998</v>
      </c>
      <c r="BE106" s="47">
        <f t="shared" si="12"/>
        <v>0.6</v>
      </c>
    </row>
    <row r="107" spans="1:57" x14ac:dyDescent="0.25">
      <c r="A107" s="42" t="s">
        <v>202</v>
      </c>
      <c r="B107" s="43">
        <v>5</v>
      </c>
      <c r="C107" s="42" t="s">
        <v>64</v>
      </c>
      <c r="D107" t="s">
        <v>58</v>
      </c>
      <c r="E107" s="10">
        <v>0</v>
      </c>
      <c r="F107" s="11">
        <v>0</v>
      </c>
      <c r="G107" s="12">
        <v>3</v>
      </c>
      <c r="H107" s="13">
        <v>6</v>
      </c>
      <c r="J107" s="6">
        <v>4</v>
      </c>
      <c r="K107" s="7">
        <v>5</v>
      </c>
      <c r="L107" s="8"/>
      <c r="M107" s="9"/>
      <c r="O107" s="10">
        <v>3</v>
      </c>
      <c r="P107" s="11"/>
      <c r="Q107" s="12">
        <v>4</v>
      </c>
      <c r="R107" s="13"/>
      <c r="T107" s="6">
        <v>5</v>
      </c>
      <c r="U107" s="7">
        <v>5</v>
      </c>
      <c r="V107" s="8">
        <v>6</v>
      </c>
      <c r="W107" s="9">
        <v>5</v>
      </c>
      <c r="Y107" s="10"/>
      <c r="Z107" s="11">
        <v>3</v>
      </c>
      <c r="AA107" s="12"/>
      <c r="AB107" s="13"/>
      <c r="AD107" s="6"/>
      <c r="AE107" s="7"/>
      <c r="AF107" s="8"/>
      <c r="AG107" s="9"/>
      <c r="AI107" s="10"/>
      <c r="AJ107" s="11"/>
      <c r="AK107" s="12"/>
      <c r="AL107" s="13">
        <v>2</v>
      </c>
      <c r="AN107" s="6"/>
      <c r="AO107" s="7"/>
      <c r="AP107" s="8"/>
      <c r="AQ107" s="9">
        <v>3</v>
      </c>
      <c r="AS107" s="10"/>
      <c r="AT107" s="11"/>
      <c r="AU107" s="12"/>
      <c r="AV107" s="13"/>
      <c r="AX107" s="6"/>
      <c r="AY107" s="7"/>
      <c r="AZ107" s="8"/>
      <c r="BA107" s="9"/>
      <c r="BC107" s="46">
        <f t="shared" si="7"/>
        <v>54</v>
      </c>
      <c r="BD107" s="47">
        <f>(SUM(BE107,'Run distances (Term 2)'!BI107,'Run distances (Term 3)'!BI86,'Run distances (Term 4)'!BI107))</f>
        <v>21.9</v>
      </c>
      <c r="BE107" s="47">
        <f t="shared" si="12"/>
        <v>16.2</v>
      </c>
    </row>
    <row r="108" spans="1:57" x14ac:dyDescent="0.25">
      <c r="A108" s="42" t="s">
        <v>201</v>
      </c>
      <c r="B108" s="43">
        <v>5</v>
      </c>
      <c r="C108" s="42" t="s">
        <v>64</v>
      </c>
      <c r="D108" t="s">
        <v>58</v>
      </c>
      <c r="E108" s="10"/>
      <c r="F108" s="11"/>
      <c r="G108" s="12"/>
      <c r="H108" s="13"/>
      <c r="J108" s="6">
        <v>4</v>
      </c>
      <c r="K108" s="7">
        <v>0</v>
      </c>
      <c r="L108" s="8"/>
      <c r="M108" s="9"/>
      <c r="O108" s="10">
        <v>3</v>
      </c>
      <c r="P108" s="11"/>
      <c r="Q108" s="12">
        <v>5</v>
      </c>
      <c r="R108" s="13"/>
      <c r="T108" s="6">
        <v>2</v>
      </c>
      <c r="U108" s="7"/>
      <c r="V108" s="8"/>
      <c r="W108" s="9"/>
      <c r="Y108" s="10"/>
      <c r="Z108" s="11">
        <v>4</v>
      </c>
      <c r="AA108" s="12"/>
      <c r="AB108" s="13"/>
      <c r="AD108" s="6"/>
      <c r="AE108" s="7"/>
      <c r="AF108" s="8"/>
      <c r="AG108" s="9"/>
      <c r="AI108" s="10"/>
      <c r="AJ108" s="11">
        <v>2</v>
      </c>
      <c r="AK108" s="12"/>
      <c r="AL108" s="13">
        <v>6</v>
      </c>
      <c r="AN108" s="6"/>
      <c r="AO108" s="7"/>
      <c r="AP108" s="8">
        <v>3</v>
      </c>
      <c r="AQ108" s="9">
        <v>3</v>
      </c>
      <c r="AS108" s="10"/>
      <c r="AT108" s="11"/>
      <c r="AU108" s="12"/>
      <c r="AV108" s="13"/>
      <c r="AX108" s="6">
        <v>3</v>
      </c>
      <c r="AY108" s="7"/>
      <c r="AZ108" s="8"/>
      <c r="BA108" s="9"/>
      <c r="BC108" s="46">
        <f t="shared" si="7"/>
        <v>35</v>
      </c>
      <c r="BD108" s="47">
        <f>(SUM(BE108,'Run distances (Term 2)'!BI108,'Run distances (Term 3)'!BI87,'Run distances (Term 4)'!BI108))</f>
        <v>24.6</v>
      </c>
      <c r="BE108" s="47">
        <f t="shared" si="12"/>
        <v>10.5</v>
      </c>
    </row>
    <row r="109" spans="1:57" x14ac:dyDescent="0.25">
      <c r="A109" s="42" t="s">
        <v>200</v>
      </c>
      <c r="B109" s="43">
        <v>5</v>
      </c>
      <c r="C109" s="42" t="s">
        <v>64</v>
      </c>
      <c r="D109" t="s">
        <v>58</v>
      </c>
      <c r="E109" s="10">
        <v>0</v>
      </c>
      <c r="F109" s="11">
        <v>0</v>
      </c>
      <c r="G109" s="12">
        <v>3</v>
      </c>
      <c r="H109" s="13">
        <v>1</v>
      </c>
      <c r="J109" s="6"/>
      <c r="K109" s="7"/>
      <c r="L109" s="8"/>
      <c r="M109" s="9"/>
      <c r="O109" s="10"/>
      <c r="P109" s="11"/>
      <c r="Q109" s="12">
        <v>3</v>
      </c>
      <c r="R109" s="13">
        <v>3</v>
      </c>
      <c r="T109" s="6"/>
      <c r="U109" s="7"/>
      <c r="V109" s="8"/>
      <c r="W109" s="9"/>
      <c r="Y109" s="10"/>
      <c r="Z109" s="11"/>
      <c r="AA109" s="12"/>
      <c r="AB109" s="13"/>
      <c r="AD109" s="6"/>
      <c r="AE109" s="7"/>
      <c r="AF109" s="8"/>
      <c r="AG109" s="9"/>
      <c r="AI109" s="10"/>
      <c r="AJ109" s="11"/>
      <c r="AK109" s="12">
        <v>4</v>
      </c>
      <c r="AL109" s="13"/>
      <c r="AN109" s="6"/>
      <c r="AO109" s="7"/>
      <c r="AP109" s="8">
        <v>1</v>
      </c>
      <c r="AQ109" s="9"/>
      <c r="AS109" s="10"/>
      <c r="AT109" s="11"/>
      <c r="AU109" s="12"/>
      <c r="AV109" s="13"/>
      <c r="AX109" s="6"/>
      <c r="AY109" s="7"/>
      <c r="AZ109" s="8">
        <v>4</v>
      </c>
      <c r="BA109" s="9"/>
      <c r="BC109" s="46">
        <f t="shared" si="7"/>
        <v>19</v>
      </c>
      <c r="BD109" s="47">
        <f>(SUM(BE109,'Run distances (Term 2)'!BI109,'Run distances (Term 3)'!BI88,'Run distances (Term 4)'!BI109))</f>
        <v>14.100000000000001</v>
      </c>
      <c r="BE109" s="47">
        <f t="shared" si="12"/>
        <v>5.7</v>
      </c>
    </row>
    <row r="110" spans="1:57" x14ac:dyDescent="0.25">
      <c r="A110" s="42" t="s">
        <v>366</v>
      </c>
      <c r="B110" s="43">
        <v>4</v>
      </c>
      <c r="C110" s="42" t="s">
        <v>64</v>
      </c>
      <c r="D110" t="s">
        <v>55</v>
      </c>
      <c r="E110" s="10">
        <v>0</v>
      </c>
      <c r="F110" s="11">
        <v>0</v>
      </c>
      <c r="G110" s="12"/>
      <c r="H110" s="13"/>
      <c r="J110" s="6"/>
      <c r="K110" s="7"/>
      <c r="L110" s="8"/>
      <c r="M110" s="9"/>
      <c r="O110" s="10"/>
      <c r="P110" s="11"/>
      <c r="Q110" s="12"/>
      <c r="R110" s="13"/>
      <c r="T110" s="6">
        <v>1</v>
      </c>
      <c r="U110" s="7"/>
      <c r="V110" s="8"/>
      <c r="W110" s="9"/>
      <c r="Y110" s="10"/>
      <c r="Z110" s="11"/>
      <c r="AA110" s="12"/>
      <c r="AB110" s="13"/>
      <c r="AD110" s="6"/>
      <c r="AE110" s="7"/>
      <c r="AF110" s="8"/>
      <c r="AG110" s="9"/>
      <c r="AI110" s="10"/>
      <c r="AJ110" s="11"/>
      <c r="AK110" s="12"/>
      <c r="AL110" s="13"/>
      <c r="AN110" s="6"/>
      <c r="AO110" s="7"/>
      <c r="AP110" s="8"/>
      <c r="AQ110" s="9"/>
      <c r="AS110" s="10"/>
      <c r="AT110" s="11"/>
      <c r="AU110" s="12"/>
      <c r="AV110" s="13"/>
      <c r="AX110" s="6"/>
      <c r="AY110" s="7"/>
      <c r="AZ110" s="8"/>
      <c r="BA110" s="9"/>
      <c r="BC110" s="46">
        <f t="shared" ref="BC110:BC164" si="15">SUM(E110:BA110)</f>
        <v>1</v>
      </c>
      <c r="BD110" s="47">
        <f>(SUM(BE110,'Run distances (Term 2)'!BI110,'Run distances (Term 3)'!BI89,'Run distances (Term 4)'!BI110))</f>
        <v>1.2</v>
      </c>
      <c r="BE110" s="47">
        <f t="shared" si="12"/>
        <v>0.3</v>
      </c>
    </row>
    <row r="111" spans="1:57" x14ac:dyDescent="0.25">
      <c r="A111" s="42" t="s">
        <v>198</v>
      </c>
      <c r="B111" s="43">
        <v>4</v>
      </c>
      <c r="C111" s="42" t="s">
        <v>64</v>
      </c>
      <c r="D111" t="s">
        <v>55</v>
      </c>
      <c r="E111" s="10">
        <v>0</v>
      </c>
      <c r="F111" s="11">
        <v>0</v>
      </c>
      <c r="G111" s="12">
        <v>1</v>
      </c>
      <c r="H111" s="13">
        <v>3</v>
      </c>
      <c r="J111" s="6">
        <v>0</v>
      </c>
      <c r="K111" s="7">
        <v>1</v>
      </c>
      <c r="L111" s="8"/>
      <c r="M111" s="9">
        <v>4</v>
      </c>
      <c r="O111" s="10"/>
      <c r="P111" s="11"/>
      <c r="Q111" s="12"/>
      <c r="R111" s="13"/>
      <c r="T111" s="6"/>
      <c r="U111" s="7">
        <v>1</v>
      </c>
      <c r="V111" s="8">
        <v>4</v>
      </c>
      <c r="W111" s="9"/>
      <c r="Y111" s="10"/>
      <c r="Z111" s="11"/>
      <c r="AA111" s="12"/>
      <c r="AB111" s="13"/>
      <c r="AD111" s="6"/>
      <c r="AE111" s="7"/>
      <c r="AF111" s="8"/>
      <c r="AG111" s="9">
        <v>4</v>
      </c>
      <c r="AI111" s="10"/>
      <c r="AJ111" s="11"/>
      <c r="AK111" s="12"/>
      <c r="AL111" s="13"/>
      <c r="AN111" s="6"/>
      <c r="AO111" s="7"/>
      <c r="AP111" s="8"/>
      <c r="AQ111" s="9"/>
      <c r="AS111" s="10"/>
      <c r="AT111" s="11"/>
      <c r="AU111" s="12"/>
      <c r="AV111" s="13"/>
      <c r="AX111" s="6"/>
      <c r="AY111" s="7"/>
      <c r="AZ111" s="8"/>
      <c r="BA111" s="9"/>
      <c r="BC111" s="46">
        <f t="shared" si="15"/>
        <v>18</v>
      </c>
      <c r="BD111" s="47">
        <f>(SUM(BE111,'Run distances (Term 2)'!BI111,'Run distances (Term 3)'!BI90,'Run distances (Term 4)'!BI111))</f>
        <v>7.5</v>
      </c>
      <c r="BE111" s="47">
        <f t="shared" si="12"/>
        <v>5.3999999999999995</v>
      </c>
    </row>
    <row r="112" spans="1:57" x14ac:dyDescent="0.25">
      <c r="A112" s="42" t="s">
        <v>197</v>
      </c>
      <c r="B112" s="43">
        <v>4</v>
      </c>
      <c r="C112" s="42" t="s">
        <v>64</v>
      </c>
      <c r="D112" t="s">
        <v>55</v>
      </c>
      <c r="E112" s="10">
        <v>0</v>
      </c>
      <c r="F112" s="11">
        <v>1</v>
      </c>
      <c r="G112" s="12">
        <v>0</v>
      </c>
      <c r="H112" s="13">
        <v>2</v>
      </c>
      <c r="J112" s="6"/>
      <c r="K112" s="7"/>
      <c r="L112" s="8"/>
      <c r="M112" s="9"/>
      <c r="O112" s="10">
        <v>1</v>
      </c>
      <c r="P112" s="11"/>
      <c r="Q112" s="12"/>
      <c r="R112" s="13"/>
      <c r="T112" s="6"/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ref="BC112" si="16">SUM(E112:BA112)</f>
        <v>4</v>
      </c>
      <c r="BD112" s="47">
        <f>(SUM(BE112,'Run distances (Term 2)'!BI112,'Run distances (Term 3)'!BI91,'Run distances (Term 4)'!BI112))</f>
        <v>2.7</v>
      </c>
      <c r="BE112" s="47">
        <f t="shared" si="12"/>
        <v>1.2</v>
      </c>
    </row>
    <row r="113" spans="1:57" x14ac:dyDescent="0.25">
      <c r="A113" s="42" t="s">
        <v>377</v>
      </c>
      <c r="B113" s="43">
        <v>4</v>
      </c>
      <c r="C113" s="42" t="s">
        <v>64</v>
      </c>
      <c r="D113" t="s">
        <v>55</v>
      </c>
      <c r="E113" s="10">
        <v>0</v>
      </c>
      <c r="F113" s="11"/>
      <c r="G113" s="12">
        <v>0</v>
      </c>
      <c r="H113" s="13"/>
      <c r="J113" s="6"/>
      <c r="K113" s="7"/>
      <c r="L113" s="8"/>
      <c r="M113" s="9"/>
      <c r="O113" s="10"/>
      <c r="P113" s="11"/>
      <c r="Q113" s="12"/>
      <c r="R113" s="13">
        <v>2</v>
      </c>
      <c r="T113" s="6"/>
      <c r="U113" s="7"/>
      <c r="V113" s="8"/>
      <c r="W113" s="9"/>
      <c r="Y113" s="10"/>
      <c r="Z113" s="11"/>
      <c r="AA113" s="12"/>
      <c r="AB113" s="13"/>
      <c r="AD113" s="6"/>
      <c r="AE113" s="7">
        <v>1</v>
      </c>
      <c r="AF113" s="8"/>
      <c r="AG113" s="9"/>
      <c r="AI113" s="10"/>
      <c r="AJ113" s="11"/>
      <c r="AK113" s="12"/>
      <c r="AL113" s="13"/>
      <c r="AN113" s="6"/>
      <c r="AO113" s="7"/>
      <c r="AP113" s="8"/>
      <c r="AQ113" s="9"/>
      <c r="AS113" s="10"/>
      <c r="AT113" s="11"/>
      <c r="AU113" s="12"/>
      <c r="AV113" s="13"/>
      <c r="AX113" s="6"/>
      <c r="AY113" s="7"/>
      <c r="AZ113" s="8"/>
      <c r="BA113" s="9"/>
      <c r="BC113" s="46">
        <f t="shared" si="15"/>
        <v>3</v>
      </c>
      <c r="BD113" s="47">
        <f>(SUM(BE113,'Run distances (Term 2)'!BI113,'Run distances (Term 3)'!BI92,'Run distances (Term 4)'!BI113))</f>
        <v>3.9</v>
      </c>
      <c r="BE113" s="47">
        <f t="shared" si="12"/>
        <v>0.89999999999999991</v>
      </c>
    </row>
    <row r="114" spans="1:57" x14ac:dyDescent="0.25">
      <c r="A114" s="42" t="s">
        <v>195</v>
      </c>
      <c r="B114" s="43">
        <v>4</v>
      </c>
      <c r="C114" s="42" t="s">
        <v>64</v>
      </c>
      <c r="D114" t="s">
        <v>55</v>
      </c>
      <c r="E114" s="10"/>
      <c r="F114" s="11"/>
      <c r="G114" s="12"/>
      <c r="H114" s="13"/>
      <c r="J114" s="6">
        <v>2</v>
      </c>
      <c r="K114" s="7">
        <v>5</v>
      </c>
      <c r="L114" s="8"/>
      <c r="M114" s="9"/>
      <c r="O114" s="10">
        <v>4</v>
      </c>
      <c r="P114" s="11">
        <v>3</v>
      </c>
      <c r="Q114" s="12"/>
      <c r="R114" s="13"/>
      <c r="T114" s="6">
        <v>3</v>
      </c>
      <c r="U114" s="7"/>
      <c r="V114" s="8"/>
      <c r="W114" s="9"/>
      <c r="Y114" s="10"/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/>
      <c r="BC114" s="46">
        <f t="shared" si="15"/>
        <v>17</v>
      </c>
      <c r="BD114" s="47">
        <f>(SUM(BE114,'Run distances (Term 2)'!BI114,'Run distances (Term 3)'!BI93,'Run distances (Term 4)'!BI114))</f>
        <v>15</v>
      </c>
      <c r="BE114" s="47">
        <f t="shared" si="12"/>
        <v>5.0999999999999996</v>
      </c>
    </row>
    <row r="115" spans="1:57" x14ac:dyDescent="0.25">
      <c r="A115" s="42" t="s">
        <v>194</v>
      </c>
      <c r="B115" s="43">
        <v>4</v>
      </c>
      <c r="C115" s="42" t="s">
        <v>64</v>
      </c>
      <c r="D115" t="s">
        <v>55</v>
      </c>
      <c r="E115" s="10">
        <v>3</v>
      </c>
      <c r="F115" s="11">
        <v>4</v>
      </c>
      <c r="G115" s="12">
        <v>6</v>
      </c>
      <c r="H115" s="13">
        <v>0</v>
      </c>
      <c r="J115" s="6">
        <v>4</v>
      </c>
      <c r="K115" s="7">
        <v>1</v>
      </c>
      <c r="L115" s="8"/>
      <c r="M115" s="9">
        <v>2</v>
      </c>
      <c r="O115" s="10"/>
      <c r="P115" s="11">
        <v>2</v>
      </c>
      <c r="Q115" s="12"/>
      <c r="R115" s="13"/>
      <c r="T115" s="6">
        <v>5</v>
      </c>
      <c r="U115" s="7">
        <v>6</v>
      </c>
      <c r="V115" s="8"/>
      <c r="W115" s="9">
        <v>3</v>
      </c>
      <c r="Y115" s="10">
        <v>4</v>
      </c>
      <c r="Z115" s="11"/>
      <c r="AA115" s="12">
        <v>6</v>
      </c>
      <c r="AB115" s="13"/>
      <c r="AD115" s="6"/>
      <c r="AE115" s="7"/>
      <c r="AF115" s="8">
        <v>6</v>
      </c>
      <c r="AG115" s="9">
        <v>4</v>
      </c>
      <c r="AI115" s="10">
        <v>2</v>
      </c>
      <c r="AJ115" s="11"/>
      <c r="AK115" s="12">
        <v>2</v>
      </c>
      <c r="AL115" s="13">
        <v>4</v>
      </c>
      <c r="AN115" s="6"/>
      <c r="AO115" s="7">
        <v>7</v>
      </c>
      <c r="AP115" s="8">
        <v>6</v>
      </c>
      <c r="AQ115" s="9">
        <v>4</v>
      </c>
      <c r="AS115" s="10"/>
      <c r="AT115" s="11">
        <v>5</v>
      </c>
      <c r="AU115" s="12"/>
      <c r="AV115" s="13"/>
      <c r="AX115" s="6"/>
      <c r="AY115" s="7"/>
      <c r="AZ115" s="8"/>
      <c r="BA115" s="9"/>
      <c r="BC115" s="46">
        <f t="shared" si="15"/>
        <v>86</v>
      </c>
      <c r="BD115" s="47">
        <f>(SUM(BE115,'Run distances (Term 2)'!BI115,'Run distances (Term 3)'!BI94,'Run distances (Term 4)'!BI115))</f>
        <v>36</v>
      </c>
      <c r="BE115" s="47">
        <f t="shared" si="12"/>
        <v>25.8</v>
      </c>
    </row>
    <row r="116" spans="1:57" x14ac:dyDescent="0.25">
      <c r="A116" s="42" t="s">
        <v>193</v>
      </c>
      <c r="B116" s="43">
        <v>6</v>
      </c>
      <c r="C116" s="42" t="s">
        <v>64</v>
      </c>
      <c r="D116" t="s">
        <v>50</v>
      </c>
      <c r="E116" s="10"/>
      <c r="F116" s="11"/>
      <c r="G116" s="12"/>
      <c r="H116" s="13"/>
      <c r="J116" s="6"/>
      <c r="K116" s="7"/>
      <c r="L116" s="8">
        <v>2</v>
      </c>
      <c r="M116" s="9">
        <v>2</v>
      </c>
      <c r="O116" s="10">
        <v>2</v>
      </c>
      <c r="P116" s="11">
        <v>2</v>
      </c>
      <c r="Q116" s="12">
        <v>4</v>
      </c>
      <c r="R116" s="13">
        <v>1</v>
      </c>
      <c r="T116" s="6">
        <v>2</v>
      </c>
      <c r="U116" s="7">
        <v>3</v>
      </c>
      <c r="V116" s="8">
        <v>3</v>
      </c>
      <c r="W116" s="9">
        <v>3</v>
      </c>
      <c r="Y116" s="10">
        <v>2</v>
      </c>
      <c r="Z116" s="11"/>
      <c r="AA116" s="12"/>
      <c r="AB116" s="13"/>
      <c r="AD116" s="6"/>
      <c r="AE116" s="7"/>
      <c r="AF116" s="8"/>
      <c r="AG116" s="9"/>
      <c r="AI116" s="10"/>
      <c r="AJ116" s="11"/>
      <c r="AK116" s="12"/>
      <c r="AL116" s="13"/>
      <c r="AN116" s="6"/>
      <c r="AO116" s="7"/>
      <c r="AP116" s="8"/>
      <c r="AQ116" s="9"/>
      <c r="AS116" s="10"/>
      <c r="AT116" s="11"/>
      <c r="AU116" s="12"/>
      <c r="AV116" s="13"/>
      <c r="AX116" s="6"/>
      <c r="AY116" s="7"/>
      <c r="AZ116" s="8"/>
      <c r="BA116" s="9">
        <v>3</v>
      </c>
      <c r="BC116" s="46">
        <f t="shared" si="15"/>
        <v>29</v>
      </c>
      <c r="BD116" s="47">
        <f>(SUM(BE116,'Run distances (Term 2)'!BI116,'Run distances (Term 3)'!BI95,'Run distances (Term 4)'!BI116))</f>
        <v>16.5</v>
      </c>
      <c r="BE116" s="47">
        <f t="shared" si="12"/>
        <v>8.6999999999999993</v>
      </c>
    </row>
    <row r="117" spans="1:57" x14ac:dyDescent="0.25">
      <c r="A117" s="42" t="s">
        <v>192</v>
      </c>
      <c r="B117" s="43">
        <v>6</v>
      </c>
      <c r="C117" s="42" t="s">
        <v>64</v>
      </c>
      <c r="D117" t="s">
        <v>50</v>
      </c>
      <c r="E117" s="10"/>
      <c r="F117" s="11"/>
      <c r="G117" s="12"/>
      <c r="H117" s="13"/>
      <c r="J117" s="6"/>
      <c r="K117" s="7"/>
      <c r="L117" s="8"/>
      <c r="M117" s="9">
        <v>6</v>
      </c>
      <c r="O117" s="10"/>
      <c r="P117" s="11"/>
      <c r="Q117" s="12"/>
      <c r="R117" s="13"/>
      <c r="T117" s="6"/>
      <c r="U117" s="7"/>
      <c r="V117" s="8"/>
      <c r="W117" s="9"/>
      <c r="Y117" s="10"/>
      <c r="Z117" s="11"/>
      <c r="AA117" s="12"/>
      <c r="AB117" s="13"/>
      <c r="AD117" s="6"/>
      <c r="AE117" s="7"/>
      <c r="AF117" s="8"/>
      <c r="AG117" s="9"/>
      <c r="AI117" s="10"/>
      <c r="AJ117" s="11"/>
      <c r="AK117" s="12">
        <v>4</v>
      </c>
      <c r="AL117" s="13"/>
      <c r="AN117" s="6"/>
      <c r="AO117" s="7"/>
      <c r="AP117" s="8"/>
      <c r="AQ117" s="9"/>
      <c r="AS117" s="10"/>
      <c r="AT117" s="11"/>
      <c r="AU117" s="12"/>
      <c r="AV117" s="13"/>
      <c r="AX117" s="6"/>
      <c r="AY117" s="7"/>
      <c r="AZ117" s="8"/>
      <c r="BA117" s="9"/>
      <c r="BC117" s="46">
        <f t="shared" si="15"/>
        <v>10</v>
      </c>
      <c r="BD117" s="47">
        <f>(SUM(BE117,'Run distances (Term 2)'!BI117,'Run distances (Term 3)'!BI96,'Run distances (Term 4)'!BI117))</f>
        <v>6</v>
      </c>
      <c r="BE117" s="47">
        <f t="shared" si="12"/>
        <v>3</v>
      </c>
    </row>
    <row r="118" spans="1:57" x14ac:dyDescent="0.25">
      <c r="A118" s="42" t="s">
        <v>191</v>
      </c>
      <c r="B118" s="43">
        <v>7</v>
      </c>
      <c r="C118" s="42" t="s">
        <v>64</v>
      </c>
      <c r="D118" t="s">
        <v>50</v>
      </c>
      <c r="E118" s="10">
        <v>0</v>
      </c>
      <c r="F118" s="11">
        <v>0</v>
      </c>
      <c r="G118" s="12">
        <v>6</v>
      </c>
      <c r="H118" s="13">
        <v>5</v>
      </c>
      <c r="J118" s="6">
        <v>5</v>
      </c>
      <c r="K118" s="7">
        <v>0</v>
      </c>
      <c r="L118" s="8"/>
      <c r="M118" s="9"/>
      <c r="O118" s="10"/>
      <c r="P118" s="11"/>
      <c r="Q118" s="12">
        <v>5</v>
      </c>
      <c r="R118" s="13"/>
      <c r="T118" s="6"/>
      <c r="U118" s="7"/>
      <c r="V118" s="8">
        <v>2</v>
      </c>
      <c r="W118" s="9">
        <v>1</v>
      </c>
      <c r="Y118" s="10"/>
      <c r="Z118" s="11">
        <v>4</v>
      </c>
      <c r="AA118" s="12">
        <v>3</v>
      </c>
      <c r="AB118" s="13"/>
      <c r="AD118" s="6"/>
      <c r="AE118" s="7"/>
      <c r="AF118" s="8">
        <v>3</v>
      </c>
      <c r="AG118" s="9"/>
      <c r="AI118" s="10">
        <v>1</v>
      </c>
      <c r="AJ118" s="11">
        <v>3</v>
      </c>
      <c r="AK118" s="12"/>
      <c r="AL118" s="13">
        <v>5</v>
      </c>
      <c r="AN118" s="6"/>
      <c r="AO118" s="7"/>
      <c r="AP118" s="8">
        <v>1</v>
      </c>
      <c r="AQ118" s="9">
        <v>2</v>
      </c>
      <c r="AS118" s="10"/>
      <c r="AT118" s="11"/>
      <c r="AU118" s="12"/>
      <c r="AV118" s="13"/>
      <c r="AX118" s="6"/>
      <c r="AY118" s="7"/>
      <c r="AZ118" s="8"/>
      <c r="BA118" s="9"/>
      <c r="BC118" s="46">
        <f t="shared" ref="BC118:BC120" si="17">SUM(E118:BA118)</f>
        <v>46</v>
      </c>
      <c r="BD118" s="47">
        <f>(SUM(BE118,'Run distances (Term 2)'!BI118,'Run distances (Term 3)'!BI97,'Run distances (Term 4)'!BI118))</f>
        <v>18.599999999999998</v>
      </c>
      <c r="BE118" s="47">
        <f t="shared" si="12"/>
        <v>13.799999999999999</v>
      </c>
    </row>
    <row r="119" spans="1:57" x14ac:dyDescent="0.25">
      <c r="A119" s="42" t="s">
        <v>367</v>
      </c>
      <c r="B119" s="43">
        <v>7</v>
      </c>
      <c r="C119" s="42" t="s">
        <v>64</v>
      </c>
      <c r="D119" t="s">
        <v>50</v>
      </c>
      <c r="E119" s="10">
        <v>0</v>
      </c>
      <c r="F119" s="11">
        <v>0</v>
      </c>
      <c r="G119" s="12"/>
      <c r="H119" s="13"/>
      <c r="J119" s="6"/>
      <c r="K119" s="7">
        <v>0</v>
      </c>
      <c r="L119" s="8"/>
      <c r="M119" s="9"/>
      <c r="O119" s="10"/>
      <c r="P119" s="11"/>
      <c r="Q119" s="12"/>
      <c r="R119" s="13">
        <v>4</v>
      </c>
      <c r="T119" s="6"/>
      <c r="U119" s="7"/>
      <c r="V119" s="8">
        <v>3</v>
      </c>
      <c r="W119" s="9">
        <v>3</v>
      </c>
      <c r="Y119" s="10"/>
      <c r="Z119" s="11"/>
      <c r="AA119" s="12"/>
      <c r="AB119" s="13"/>
      <c r="AD119" s="6"/>
      <c r="AE119" s="7"/>
      <c r="AF119" s="8">
        <v>5</v>
      </c>
      <c r="AG119" s="9">
        <v>3</v>
      </c>
      <c r="AI119" s="10"/>
      <c r="AJ119" s="11"/>
      <c r="AK119" s="12">
        <v>4</v>
      </c>
      <c r="AL119" s="13">
        <v>2</v>
      </c>
      <c r="AN119" s="6"/>
      <c r="AO119" s="7"/>
      <c r="AP119" s="8">
        <v>5</v>
      </c>
      <c r="AQ119" s="9">
        <v>1</v>
      </c>
      <c r="AS119" s="10"/>
      <c r="AT119" s="11">
        <v>6</v>
      </c>
      <c r="AU119" s="12"/>
      <c r="AV119" s="13"/>
      <c r="AX119" s="6">
        <v>5</v>
      </c>
      <c r="AY119" s="7"/>
      <c r="AZ119" s="8">
        <v>6</v>
      </c>
      <c r="BA119" s="9"/>
      <c r="BC119" s="46">
        <f t="shared" si="17"/>
        <v>47</v>
      </c>
      <c r="BD119" s="47">
        <f>(SUM(BE119,'Run distances (Term 2)'!BI119,'Run distances (Term 3)'!BI98,'Run distances (Term 4)'!BI119))</f>
        <v>42.900000000000006</v>
      </c>
      <c r="BE119" s="47">
        <f t="shared" si="12"/>
        <v>14.1</v>
      </c>
    </row>
    <row r="120" spans="1:57" x14ac:dyDescent="0.25">
      <c r="A120" s="42" t="s">
        <v>368</v>
      </c>
      <c r="B120" s="43">
        <v>7</v>
      </c>
      <c r="C120" s="42" t="s">
        <v>64</v>
      </c>
      <c r="D120" t="s">
        <v>50</v>
      </c>
      <c r="E120" s="10">
        <v>0</v>
      </c>
      <c r="F120" s="11">
        <v>0</v>
      </c>
      <c r="G120" s="12"/>
      <c r="H120" s="13"/>
      <c r="J120" s="6"/>
      <c r="K120" s="7"/>
      <c r="L120" s="8"/>
      <c r="M120" s="9"/>
      <c r="O120" s="10"/>
      <c r="P120" s="11"/>
      <c r="Q120" s="12"/>
      <c r="R120" s="13"/>
      <c r="T120" s="6"/>
      <c r="U120" s="7"/>
      <c r="V120" s="8"/>
      <c r="W120" s="9"/>
      <c r="Y120" s="10"/>
      <c r="Z120" s="11"/>
      <c r="AA120" s="12">
        <v>1</v>
      </c>
      <c r="AB120" s="13"/>
      <c r="AD120" s="6"/>
      <c r="AE120" s="7"/>
      <c r="AF120" s="8"/>
      <c r="AG120" s="9"/>
      <c r="AI120" s="10"/>
      <c r="AJ120" s="11"/>
      <c r="AK120" s="12"/>
      <c r="AL120" s="13"/>
      <c r="AN120" s="6"/>
      <c r="AO120" s="7"/>
      <c r="AP120" s="8"/>
      <c r="AQ120" s="9"/>
      <c r="AS120" s="10"/>
      <c r="AT120" s="11"/>
      <c r="AU120" s="12"/>
      <c r="AV120" s="13"/>
      <c r="AX120" s="6"/>
      <c r="AY120" s="7"/>
      <c r="AZ120" s="8"/>
      <c r="BA120" s="9"/>
      <c r="BC120" s="46">
        <f t="shared" si="17"/>
        <v>1</v>
      </c>
      <c r="BD120" s="47">
        <f>(SUM(BE120,'Run distances (Term 2)'!BI120,'Run distances (Term 3)'!BI99,'Run distances (Term 4)'!BI120))</f>
        <v>1.5</v>
      </c>
      <c r="BE120" s="47">
        <f t="shared" si="12"/>
        <v>0.3</v>
      </c>
    </row>
    <row r="121" spans="1:57" x14ac:dyDescent="0.25">
      <c r="A121" s="42" t="s">
        <v>378</v>
      </c>
      <c r="B121" s="43">
        <v>7</v>
      </c>
      <c r="C121" s="42" t="s">
        <v>64</v>
      </c>
      <c r="D121" t="s">
        <v>50</v>
      </c>
      <c r="E121" s="10">
        <v>0</v>
      </c>
      <c r="F121" s="11">
        <v>0</v>
      </c>
      <c r="G121" s="12"/>
      <c r="H121" s="13"/>
      <c r="J121" s="6"/>
      <c r="K121" s="7"/>
      <c r="L121" s="8"/>
      <c r="M121" s="9"/>
      <c r="O121" s="10"/>
      <c r="P121" s="11"/>
      <c r="Q121" s="12"/>
      <c r="R121" s="13"/>
      <c r="T121" s="6"/>
      <c r="U121" s="7"/>
      <c r="V121" s="8"/>
      <c r="W121" s="9"/>
      <c r="Y121" s="10"/>
      <c r="Z121" s="11"/>
      <c r="AA121" s="12"/>
      <c r="AB121" s="13"/>
      <c r="AD121" s="6"/>
      <c r="AE121" s="7"/>
      <c r="AF121" s="8"/>
      <c r="AG121" s="9"/>
      <c r="AI121" s="10"/>
      <c r="AJ121" s="11"/>
      <c r="AK121" s="12"/>
      <c r="AL121" s="13"/>
      <c r="AN121" s="6"/>
      <c r="AO121" s="7">
        <v>1</v>
      </c>
      <c r="AP121" s="8"/>
      <c r="AQ121" s="9"/>
      <c r="AS121" s="10"/>
      <c r="AT121" s="11"/>
      <c r="AU121" s="12"/>
      <c r="AV121" s="13"/>
      <c r="AX121" s="6">
        <v>2</v>
      </c>
      <c r="AY121" s="7"/>
      <c r="AZ121" s="8">
        <v>3</v>
      </c>
      <c r="BA121" s="9"/>
      <c r="BC121" s="46">
        <f t="shared" si="15"/>
        <v>6</v>
      </c>
      <c r="BD121" s="47">
        <f>(SUM(BE121,'Run distances (Term 2)'!BI121,'Run distances (Term 3)'!BI100,'Run distances (Term 4)'!BI121))</f>
        <v>18.299999999999997</v>
      </c>
      <c r="BE121" s="47">
        <f t="shared" si="12"/>
        <v>1.7999999999999998</v>
      </c>
    </row>
    <row r="122" spans="1:57" x14ac:dyDescent="0.25">
      <c r="A122" s="42" t="s">
        <v>188</v>
      </c>
      <c r="B122" s="43">
        <v>6</v>
      </c>
      <c r="C122" s="42" t="s">
        <v>64</v>
      </c>
      <c r="D122" t="s">
        <v>51</v>
      </c>
      <c r="E122" s="10"/>
      <c r="F122" s="11"/>
      <c r="G122" s="12"/>
      <c r="H122" s="13"/>
      <c r="J122" s="6"/>
      <c r="K122" s="7"/>
      <c r="L122" s="8">
        <v>2</v>
      </c>
      <c r="M122" s="9"/>
      <c r="O122" s="10"/>
      <c r="P122" s="11"/>
      <c r="Q122" s="12">
        <v>4</v>
      </c>
      <c r="R122" s="13">
        <v>4</v>
      </c>
      <c r="T122" s="6"/>
      <c r="U122" s="7">
        <v>3</v>
      </c>
      <c r="V122" s="8">
        <v>1</v>
      </c>
      <c r="W122" s="9"/>
      <c r="Y122" s="10"/>
      <c r="Z122" s="11"/>
      <c r="AA122" s="12"/>
      <c r="AB122" s="13"/>
      <c r="AD122" s="6"/>
      <c r="AE122" s="7"/>
      <c r="AF122" s="8"/>
      <c r="AG122" s="9"/>
      <c r="AI122" s="10"/>
      <c r="AJ122" s="11"/>
      <c r="AK122" s="12"/>
      <c r="AL122" s="13"/>
      <c r="AN122" s="6"/>
      <c r="AO122" s="7"/>
      <c r="AP122" s="8"/>
      <c r="AQ122" s="9"/>
      <c r="AS122" s="10"/>
      <c r="AT122" s="11"/>
      <c r="AU122" s="12"/>
      <c r="AV122" s="13"/>
      <c r="AX122" s="6"/>
      <c r="AY122" s="7"/>
      <c r="AZ122" s="8"/>
      <c r="BA122" s="9">
        <v>2</v>
      </c>
      <c r="BC122" s="46">
        <f t="shared" ref="BC122:BC123" si="18">SUM(E122:BA122)</f>
        <v>16</v>
      </c>
      <c r="BD122" s="47">
        <f>(SUM(BE122,'Run distances (Term 2)'!BI122,'Run distances (Term 3)'!BI101,'Run distances (Term 4)'!BI122))</f>
        <v>6</v>
      </c>
      <c r="BE122" s="47">
        <f t="shared" si="12"/>
        <v>4.8</v>
      </c>
    </row>
    <row r="123" spans="1:57" x14ac:dyDescent="0.25">
      <c r="A123" s="42" t="s">
        <v>369</v>
      </c>
      <c r="B123" s="43">
        <v>6</v>
      </c>
      <c r="C123" s="42" t="s">
        <v>64</v>
      </c>
      <c r="D123" t="s">
        <v>51</v>
      </c>
      <c r="E123" s="10"/>
      <c r="F123" s="11"/>
      <c r="G123" s="12"/>
      <c r="H123" s="13"/>
      <c r="J123" s="6"/>
      <c r="K123" s="7"/>
      <c r="L123" s="8"/>
      <c r="M123" s="9"/>
      <c r="O123" s="10"/>
      <c r="P123" s="11"/>
      <c r="Q123" s="12"/>
      <c r="R123" s="13"/>
      <c r="T123" s="6"/>
      <c r="U123" s="7"/>
      <c r="V123" s="8"/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>
        <v>3</v>
      </c>
      <c r="AL123" s="13"/>
      <c r="AN123" s="6"/>
      <c r="AO123" s="7"/>
      <c r="AP123" s="8"/>
      <c r="AQ123" s="9"/>
      <c r="AS123" s="10"/>
      <c r="AT123" s="11"/>
      <c r="AU123" s="12"/>
      <c r="AV123" s="13"/>
      <c r="AX123" s="6"/>
      <c r="AY123" s="7"/>
      <c r="AZ123" s="8"/>
      <c r="BA123" s="9"/>
      <c r="BC123" s="46">
        <f t="shared" si="18"/>
        <v>3</v>
      </c>
      <c r="BD123" s="47">
        <f>(SUM(BE123,'Run distances (Term 2)'!BI123,'Run distances (Term 3)'!BI102,'Run distances (Term 4)'!BI123))</f>
        <v>6.2999999999999989</v>
      </c>
      <c r="BE123" s="47">
        <f t="shared" si="12"/>
        <v>0.89999999999999991</v>
      </c>
    </row>
    <row r="124" spans="1:57" x14ac:dyDescent="0.25">
      <c r="A124" s="42" t="s">
        <v>370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/>
      <c r="K124" s="7"/>
      <c r="L124" s="8"/>
      <c r="M124" s="9"/>
      <c r="O124" s="10"/>
      <c r="P124" s="11"/>
      <c r="Q124" s="12"/>
      <c r="R124" s="13"/>
      <c r="T124" s="6"/>
      <c r="U124" s="7"/>
      <c r="V124" s="8"/>
      <c r="W124" s="9"/>
      <c r="Y124" s="10"/>
      <c r="Z124" s="11"/>
      <c r="AA124" s="12"/>
      <c r="AB124" s="13"/>
      <c r="AD124" s="6"/>
      <c r="AE124" s="7"/>
      <c r="AF124" s="8"/>
      <c r="AG124" s="9"/>
      <c r="AI124" s="10"/>
      <c r="AJ124" s="11"/>
      <c r="AK124" s="12">
        <v>2</v>
      </c>
      <c r="AL124" s="13"/>
      <c r="AN124" s="6"/>
      <c r="AO124" s="7">
        <v>1</v>
      </c>
      <c r="AP124" s="8"/>
      <c r="AQ124" s="9">
        <v>1</v>
      </c>
      <c r="AS124" s="10"/>
      <c r="AT124" s="11"/>
      <c r="AU124" s="12"/>
      <c r="AV124" s="13"/>
      <c r="AX124" s="6"/>
      <c r="AY124" s="7"/>
      <c r="AZ124" s="8"/>
      <c r="BA124" s="9"/>
      <c r="BC124" s="46">
        <f t="shared" si="15"/>
        <v>4</v>
      </c>
      <c r="BD124" s="47">
        <f>(SUM(BE124,'Run distances (Term 2)'!BI124,'Run distances (Term 3)'!BI103,'Run distances (Term 4)'!BI124))</f>
        <v>13.799999999999999</v>
      </c>
      <c r="BE124" s="47">
        <f t="shared" si="12"/>
        <v>1.2</v>
      </c>
    </row>
    <row r="125" spans="1:57" x14ac:dyDescent="0.25">
      <c r="A125" s="42" t="s">
        <v>187</v>
      </c>
      <c r="B125" s="43">
        <v>6</v>
      </c>
      <c r="C125" s="42" t="s">
        <v>64</v>
      </c>
      <c r="D125" t="s">
        <v>51</v>
      </c>
      <c r="E125" s="10"/>
      <c r="F125" s="11"/>
      <c r="G125" s="12"/>
      <c r="H125" s="13"/>
      <c r="J125" s="6"/>
      <c r="K125" s="7"/>
      <c r="L125" s="8">
        <v>2</v>
      </c>
      <c r="M125" s="9"/>
      <c r="O125" s="10">
        <v>2</v>
      </c>
      <c r="P125" s="11">
        <v>2</v>
      </c>
      <c r="Q125" s="12">
        <v>4</v>
      </c>
      <c r="R125" s="13"/>
      <c r="T125" s="6">
        <v>2</v>
      </c>
      <c r="U125" s="7"/>
      <c r="V125" s="8">
        <v>3</v>
      </c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/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>
        <v>2</v>
      </c>
      <c r="BC125" s="46">
        <f t="shared" si="15"/>
        <v>17</v>
      </c>
      <c r="BD125" s="47">
        <f>(SUM(BE125,'Run distances (Term 2)'!BI125,'Run distances (Term 3)'!BI104,'Run distances (Term 4)'!BI125))</f>
        <v>10.5</v>
      </c>
      <c r="BE125" s="47">
        <f t="shared" si="12"/>
        <v>5.0999999999999996</v>
      </c>
    </row>
    <row r="126" spans="1:57" x14ac:dyDescent="0.25">
      <c r="A126" s="42" t="s">
        <v>186</v>
      </c>
      <c r="B126" s="43">
        <v>6</v>
      </c>
      <c r="C126" s="42" t="s">
        <v>64</v>
      </c>
      <c r="D126" t="s">
        <v>51</v>
      </c>
      <c r="E126" s="10"/>
      <c r="F126" s="11"/>
      <c r="G126" s="12"/>
      <c r="H126" s="13"/>
      <c r="J126" s="6">
        <v>1</v>
      </c>
      <c r="K126" s="7">
        <v>3</v>
      </c>
      <c r="L126" s="8"/>
      <c r="M126" s="9"/>
      <c r="O126" s="10">
        <v>2</v>
      </c>
      <c r="P126" s="11">
        <v>2</v>
      </c>
      <c r="Q126" s="12">
        <v>6</v>
      </c>
      <c r="R126" s="13">
        <v>3</v>
      </c>
      <c r="T126" s="6"/>
      <c r="U126" s="7"/>
      <c r="V126" s="8"/>
      <c r="W126" s="9"/>
      <c r="Y126" s="10"/>
      <c r="Z126" s="11"/>
      <c r="AA126" s="12">
        <v>3</v>
      </c>
      <c r="AB126" s="13"/>
      <c r="AD126" s="6"/>
      <c r="AE126" s="7"/>
      <c r="AF126" s="8"/>
      <c r="AG126" s="9"/>
      <c r="AI126" s="10"/>
      <c r="AJ126" s="11"/>
      <c r="AK126" s="12"/>
      <c r="AL126" s="13"/>
      <c r="AN126" s="6"/>
      <c r="AO126" s="7"/>
      <c r="AP126" s="8"/>
      <c r="AQ126" s="9"/>
      <c r="AS126" s="10"/>
      <c r="AT126" s="11"/>
      <c r="AU126" s="12"/>
      <c r="AV126" s="13"/>
      <c r="AX126" s="6"/>
      <c r="AY126" s="7"/>
      <c r="AZ126" s="8"/>
      <c r="BA126" s="9"/>
      <c r="BC126" s="46">
        <f t="shared" si="15"/>
        <v>20</v>
      </c>
      <c r="BD126" s="47">
        <f>(SUM(BE126,'Run distances (Term 2)'!BI126,'Run distances (Term 3)'!BI105,'Run distances (Term 4)'!BI126))</f>
        <v>10.8</v>
      </c>
      <c r="BE126" s="47">
        <f t="shared" si="12"/>
        <v>6</v>
      </c>
    </row>
    <row r="127" spans="1:57" x14ac:dyDescent="0.25">
      <c r="A127" s="42" t="s">
        <v>185</v>
      </c>
      <c r="B127" s="43">
        <v>8</v>
      </c>
      <c r="C127" s="42" t="s">
        <v>64</v>
      </c>
      <c r="D127" t="s">
        <v>61</v>
      </c>
      <c r="E127" s="10"/>
      <c r="F127" s="11"/>
      <c r="G127" s="12"/>
      <c r="H127" s="13"/>
      <c r="J127" s="6"/>
      <c r="K127" s="7"/>
      <c r="L127" s="8"/>
      <c r="M127" s="9">
        <v>1</v>
      </c>
      <c r="O127" s="10"/>
      <c r="P127" s="11"/>
      <c r="Q127" s="12"/>
      <c r="R127" s="13"/>
      <c r="T127" s="6"/>
      <c r="U127" s="7"/>
      <c r="V127" s="8"/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/>
      <c r="AL127" s="13"/>
      <c r="AN127" s="6"/>
      <c r="AO127" s="7"/>
      <c r="AP127" s="8"/>
      <c r="AQ127" s="9"/>
      <c r="AS127" s="10"/>
      <c r="AT127" s="11"/>
      <c r="AU127" s="12"/>
      <c r="AV127" s="13"/>
      <c r="AX127" s="6"/>
      <c r="AY127" s="7"/>
      <c r="AZ127" s="8"/>
      <c r="BA127" s="9"/>
      <c r="BC127" s="46">
        <f t="shared" ref="BC127:BC159" si="19">SUM(E127:BA127)</f>
        <v>1</v>
      </c>
      <c r="BD127" s="47">
        <f>(SUM(BE127,'Run distances (Term 2)'!BI127,'Run distances (Term 3)'!BI106,'Run distances (Term 4)'!BI127))</f>
        <v>0.3</v>
      </c>
      <c r="BE127" s="47">
        <f t="shared" si="12"/>
        <v>0.3</v>
      </c>
    </row>
    <row r="128" spans="1:57" x14ac:dyDescent="0.25">
      <c r="A128" s="42" t="s">
        <v>371</v>
      </c>
      <c r="B128" s="43">
        <v>8</v>
      </c>
      <c r="C128" s="42" t="s">
        <v>64</v>
      </c>
      <c r="D128" t="s">
        <v>61</v>
      </c>
      <c r="E128" s="10"/>
      <c r="F128" s="11"/>
      <c r="G128" s="12"/>
      <c r="H128" s="13"/>
      <c r="J128" s="6"/>
      <c r="K128" s="7"/>
      <c r="L128" s="8"/>
      <c r="M128" s="9"/>
      <c r="O128" s="10"/>
      <c r="P128" s="11"/>
      <c r="Q128" s="12"/>
      <c r="R128" s="13"/>
      <c r="T128" s="6"/>
      <c r="U128" s="7"/>
      <c r="V128" s="8"/>
      <c r="W128" s="9"/>
      <c r="Y128" s="10"/>
      <c r="Z128" s="11"/>
      <c r="AA128" s="12"/>
      <c r="AB128" s="13"/>
      <c r="AD128" s="6"/>
      <c r="AE128" s="7"/>
      <c r="AF128" s="8"/>
      <c r="AG128" s="9">
        <v>3</v>
      </c>
      <c r="AI128" s="10"/>
      <c r="AJ128" s="11"/>
      <c r="AK128" s="12"/>
      <c r="AL128" s="13"/>
      <c r="AN128" s="6"/>
      <c r="AO128" s="7"/>
      <c r="AP128" s="8"/>
      <c r="AQ128" s="9"/>
      <c r="AS128" s="10"/>
      <c r="AT128" s="11"/>
      <c r="AU128" s="12"/>
      <c r="AV128" s="13"/>
      <c r="AX128" s="6"/>
      <c r="AY128" s="7"/>
      <c r="AZ128" s="8"/>
      <c r="BA128" s="9"/>
      <c r="BC128" s="46">
        <f t="shared" si="19"/>
        <v>3</v>
      </c>
      <c r="BD128" s="47">
        <f>(SUM(BE128,'Run distances (Term 2)'!BI128,'Run distances (Term 3)'!BI107,'Run distances (Term 4)'!BI128))</f>
        <v>1.2</v>
      </c>
      <c r="BE128" s="47">
        <f t="shared" si="12"/>
        <v>0.89999999999999991</v>
      </c>
    </row>
    <row r="129" spans="1:57" x14ac:dyDescent="0.25">
      <c r="A129" s="42" t="s">
        <v>372</v>
      </c>
      <c r="B129" s="43">
        <v>8</v>
      </c>
      <c r="C129" s="42" t="s">
        <v>64</v>
      </c>
      <c r="D129" t="s">
        <v>61</v>
      </c>
      <c r="E129" s="10"/>
      <c r="F129" s="11"/>
      <c r="G129" s="12"/>
      <c r="H129" s="13"/>
      <c r="J129" s="6"/>
      <c r="K129" s="7"/>
      <c r="L129" s="8"/>
      <c r="M129" s="9"/>
      <c r="O129" s="10"/>
      <c r="P129" s="11"/>
      <c r="Q129" s="12"/>
      <c r="R129" s="13"/>
      <c r="T129" s="6"/>
      <c r="U129" s="7"/>
      <c r="V129" s="8"/>
      <c r="W129" s="9"/>
      <c r="Y129" s="10"/>
      <c r="Z129" s="11"/>
      <c r="AA129" s="12"/>
      <c r="AB129" s="13"/>
      <c r="AD129" s="6"/>
      <c r="AE129" s="7"/>
      <c r="AF129" s="8"/>
      <c r="AG129" s="9"/>
      <c r="AI129" s="10"/>
      <c r="AJ129" s="11"/>
      <c r="AK129" s="12">
        <v>3</v>
      </c>
      <c r="AL129" s="13"/>
      <c r="AN129" s="6"/>
      <c r="AO129" s="7"/>
      <c r="AP129" s="8"/>
      <c r="AQ129" s="9">
        <v>2</v>
      </c>
      <c r="AS129" s="10"/>
      <c r="AT129" s="11"/>
      <c r="AU129" s="12"/>
      <c r="AV129" s="13"/>
      <c r="AX129" s="6"/>
      <c r="AY129" s="7"/>
      <c r="AZ129" s="8"/>
      <c r="BA129" s="9"/>
      <c r="BC129" s="46">
        <f t="shared" si="19"/>
        <v>5</v>
      </c>
      <c r="BD129" s="47">
        <f>(SUM(BE129,'Run distances (Term 2)'!BI129,'Run distances (Term 3)'!BI108,'Run distances (Term 4)'!BI129))</f>
        <v>9.3000000000000007</v>
      </c>
      <c r="BE129" s="47">
        <f t="shared" si="12"/>
        <v>1.5</v>
      </c>
    </row>
    <row r="130" spans="1:57" x14ac:dyDescent="0.25">
      <c r="A130" s="42" t="s">
        <v>373</v>
      </c>
      <c r="B130" s="43">
        <v>8</v>
      </c>
      <c r="C130" s="42" t="s">
        <v>64</v>
      </c>
      <c r="D130" t="s">
        <v>61</v>
      </c>
      <c r="E130" s="10"/>
      <c r="F130" s="11"/>
      <c r="G130" s="12"/>
      <c r="H130" s="13"/>
      <c r="J130" s="6"/>
      <c r="K130" s="7"/>
      <c r="L130" s="8"/>
      <c r="M130" s="9"/>
      <c r="O130" s="10"/>
      <c r="P130" s="11"/>
      <c r="Q130" s="12"/>
      <c r="R130" s="13"/>
      <c r="T130" s="6"/>
      <c r="U130" s="7"/>
      <c r="V130" s="8"/>
      <c r="W130" s="9"/>
      <c r="Y130" s="10"/>
      <c r="Z130" s="11"/>
      <c r="AA130" s="12"/>
      <c r="AB130" s="13"/>
      <c r="AD130" s="6"/>
      <c r="AE130" s="7"/>
      <c r="AF130" s="8"/>
      <c r="AG130" s="9"/>
      <c r="AI130" s="10"/>
      <c r="AJ130" s="11"/>
      <c r="AK130" s="12">
        <v>3</v>
      </c>
      <c r="AL130" s="13"/>
      <c r="AN130" s="6"/>
      <c r="AO130" s="7"/>
      <c r="AP130" s="8"/>
      <c r="AQ130" s="9">
        <v>2</v>
      </c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5</v>
      </c>
      <c r="BD130" s="47">
        <f>(SUM(BE130,'Run distances (Term 2)'!BI130,'Run distances (Term 3)'!BI109,'Run distances (Term 4)'!BI130))</f>
        <v>8.3999999999999986</v>
      </c>
      <c r="BE130" s="47">
        <f t="shared" si="12"/>
        <v>1.5</v>
      </c>
    </row>
    <row r="131" spans="1:57" x14ac:dyDescent="0.25">
      <c r="A131" s="42" t="s">
        <v>182</v>
      </c>
      <c r="B131" s="43">
        <v>8</v>
      </c>
      <c r="C131" s="42" t="s">
        <v>64</v>
      </c>
      <c r="D131" t="s">
        <v>61</v>
      </c>
      <c r="E131" s="10">
        <v>0</v>
      </c>
      <c r="F131" s="11">
        <v>0</v>
      </c>
      <c r="G131" s="12">
        <v>0</v>
      </c>
      <c r="H131" s="13">
        <v>5</v>
      </c>
      <c r="J131" s="6">
        <v>5</v>
      </c>
      <c r="K131" s="7">
        <v>5</v>
      </c>
      <c r="L131" s="8">
        <v>0</v>
      </c>
      <c r="M131" s="9">
        <v>3</v>
      </c>
      <c r="O131" s="10">
        <v>5</v>
      </c>
      <c r="P131" s="11"/>
      <c r="Q131" s="12">
        <v>5</v>
      </c>
      <c r="R131" s="13"/>
      <c r="T131" s="6">
        <v>6</v>
      </c>
      <c r="U131" s="7">
        <v>6</v>
      </c>
      <c r="V131" s="8">
        <v>6</v>
      </c>
      <c r="W131" s="9">
        <v>4</v>
      </c>
      <c r="Y131" s="10"/>
      <c r="Z131" s="11">
        <v>3</v>
      </c>
      <c r="AA131" s="12">
        <v>3</v>
      </c>
      <c r="AB131" s="13"/>
      <c r="AD131" s="6"/>
      <c r="AE131" s="7">
        <v>1</v>
      </c>
      <c r="AF131" s="8">
        <v>3</v>
      </c>
      <c r="AG131" s="9"/>
      <c r="AI131" s="10">
        <v>1</v>
      </c>
      <c r="AJ131" s="11">
        <v>1</v>
      </c>
      <c r="AK131" s="12"/>
      <c r="AL131" s="13">
        <v>1</v>
      </c>
      <c r="AN131" s="6"/>
      <c r="AO131" s="7"/>
      <c r="AP131" s="8">
        <v>1</v>
      </c>
      <c r="AQ131" s="9">
        <v>2</v>
      </c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66</v>
      </c>
      <c r="BD131" s="47">
        <f>(SUM(BE131,'Run distances (Term 2)'!BI131,'Run distances (Term 3)'!BI110,'Run distances (Term 4)'!BI131))</f>
        <v>28.8</v>
      </c>
      <c r="BE131" s="47">
        <f t="shared" si="12"/>
        <v>19.8</v>
      </c>
    </row>
    <row r="132" spans="1:57" x14ac:dyDescent="0.25">
      <c r="A132" s="42" t="s">
        <v>181</v>
      </c>
      <c r="B132" s="43">
        <v>9</v>
      </c>
      <c r="C132" s="42" t="s">
        <v>64</v>
      </c>
      <c r="D132" t="s">
        <v>61</v>
      </c>
      <c r="E132" s="10"/>
      <c r="F132" s="11"/>
      <c r="G132" s="12"/>
      <c r="H132" s="13"/>
      <c r="J132" s="6">
        <v>5</v>
      </c>
      <c r="K132" s="7">
        <v>5</v>
      </c>
      <c r="L132" s="8">
        <v>3</v>
      </c>
      <c r="M132" s="9">
        <v>2</v>
      </c>
      <c r="O132" s="10">
        <v>4</v>
      </c>
      <c r="P132" s="11">
        <v>4</v>
      </c>
      <c r="Q132" s="12">
        <v>6</v>
      </c>
      <c r="R132" s="13">
        <v>3</v>
      </c>
      <c r="T132" s="6">
        <v>6</v>
      </c>
      <c r="U132" s="7">
        <v>6</v>
      </c>
      <c r="V132" s="8">
        <v>3</v>
      </c>
      <c r="W132" s="9">
        <v>4</v>
      </c>
      <c r="Y132" s="10"/>
      <c r="Z132" s="11">
        <v>4</v>
      </c>
      <c r="AA132" s="12">
        <v>4</v>
      </c>
      <c r="AB132" s="13"/>
      <c r="AD132" s="6"/>
      <c r="AE132" s="7">
        <v>3</v>
      </c>
      <c r="AF132" s="8">
        <v>3</v>
      </c>
      <c r="AG132" s="9"/>
      <c r="AI132" s="10">
        <v>3</v>
      </c>
      <c r="AJ132" s="11">
        <v>1</v>
      </c>
      <c r="AK132" s="12"/>
      <c r="AL132" s="13">
        <v>1</v>
      </c>
      <c r="AN132" s="6"/>
      <c r="AO132" s="7"/>
      <c r="AP132" s="8"/>
      <c r="AQ132" s="9"/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70</v>
      </c>
      <c r="BD132" s="47">
        <f>(SUM(BE132,'Run distances (Term 2)'!BI132,'Run distances (Term 3)'!BI111,'Run distances (Term 4)'!BI132))</f>
        <v>33</v>
      </c>
      <c r="BE132" s="47">
        <f t="shared" si="12"/>
        <v>21</v>
      </c>
    </row>
    <row r="133" spans="1:57" x14ac:dyDescent="0.25">
      <c r="A133" s="42" t="s">
        <v>180</v>
      </c>
      <c r="B133" s="43">
        <v>9</v>
      </c>
      <c r="C133" s="42" t="s">
        <v>64</v>
      </c>
      <c r="D133" t="s">
        <v>61</v>
      </c>
      <c r="E133" s="10"/>
      <c r="F133" s="11"/>
      <c r="G133" s="12"/>
      <c r="H133" s="13"/>
      <c r="J133" s="6">
        <v>0</v>
      </c>
      <c r="K133" s="7">
        <v>1</v>
      </c>
      <c r="L133" s="8"/>
      <c r="M133" s="9"/>
      <c r="O133" s="10"/>
      <c r="P133" s="11"/>
      <c r="Q133" s="12"/>
      <c r="R133" s="13"/>
      <c r="T133" s="6"/>
      <c r="U133" s="7">
        <v>2</v>
      </c>
      <c r="V133" s="8"/>
      <c r="W133" s="9">
        <v>1</v>
      </c>
      <c r="Y133" s="10"/>
      <c r="Z133" s="11"/>
      <c r="AA133" s="12">
        <v>2</v>
      </c>
      <c r="AB133" s="13"/>
      <c r="AD133" s="6"/>
      <c r="AE133" s="7"/>
      <c r="AF133" s="8"/>
      <c r="AG133" s="9"/>
      <c r="AI133" s="10"/>
      <c r="AJ133" s="11"/>
      <c r="AK133" s="12"/>
      <c r="AL133" s="13"/>
      <c r="AN133" s="6"/>
      <c r="AO133" s="7"/>
      <c r="AP133" s="8"/>
      <c r="AQ133" s="9"/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6</v>
      </c>
      <c r="BD133" s="47">
        <f>(SUM(BE133,'Run distances (Term 2)'!BI133,'Run distances (Term 3)'!BI112,'Run distances (Term 4)'!BI133))</f>
        <v>2.6999999999999997</v>
      </c>
      <c r="BE133" s="47">
        <f t="shared" si="12"/>
        <v>1.7999999999999998</v>
      </c>
    </row>
    <row r="134" spans="1:57" x14ac:dyDescent="0.25">
      <c r="A134" s="42" t="s">
        <v>374</v>
      </c>
      <c r="B134" s="43">
        <v>9</v>
      </c>
      <c r="C134" s="42" t="s">
        <v>64</v>
      </c>
      <c r="D134" t="s">
        <v>61</v>
      </c>
      <c r="E134" s="10"/>
      <c r="F134" s="11"/>
      <c r="G134" s="12"/>
      <c r="H134" s="13"/>
      <c r="J134" s="6">
        <v>0</v>
      </c>
      <c r="K134" s="7"/>
      <c r="L134" s="8"/>
      <c r="M134" s="9"/>
      <c r="O134" s="10"/>
      <c r="P134" s="11"/>
      <c r="Q134" s="12"/>
      <c r="R134" s="13"/>
      <c r="T134" s="6"/>
      <c r="U134" s="7"/>
      <c r="V134" s="8"/>
      <c r="W134" s="9"/>
      <c r="Y134" s="10"/>
      <c r="Z134" s="11">
        <v>3</v>
      </c>
      <c r="AA134" s="12">
        <v>3</v>
      </c>
      <c r="AB134" s="13"/>
      <c r="AD134" s="6"/>
      <c r="AE134" s="7">
        <v>2</v>
      </c>
      <c r="AF134" s="8">
        <v>2</v>
      </c>
      <c r="AG134" s="9">
        <v>2</v>
      </c>
      <c r="AI134" s="10">
        <v>3</v>
      </c>
      <c r="AJ134" s="11"/>
      <c r="AK134" s="12"/>
      <c r="AL134" s="13"/>
      <c r="AN134" s="6"/>
      <c r="AO134" s="7">
        <v>4</v>
      </c>
      <c r="AP134" s="8">
        <v>2</v>
      </c>
      <c r="AQ134" s="9">
        <v>3</v>
      </c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24</v>
      </c>
      <c r="BD134" s="47">
        <f>(SUM(BE134,'Run distances (Term 2)'!BI134,'Run distances (Term 3)'!BI113,'Run distances (Term 4)'!BI134))</f>
        <v>7.4999999999999991</v>
      </c>
      <c r="BE134" s="47">
        <f t="shared" si="12"/>
        <v>7.1999999999999993</v>
      </c>
    </row>
    <row r="135" spans="1:57" x14ac:dyDescent="0.25">
      <c r="A135" s="42" t="s">
        <v>233</v>
      </c>
      <c r="B135" s="43">
        <v>9</v>
      </c>
      <c r="C135" s="42" t="s">
        <v>64</v>
      </c>
      <c r="E135" s="10"/>
      <c r="F135" s="11"/>
      <c r="G135" s="12"/>
      <c r="H135" s="13"/>
      <c r="J135" s="6"/>
      <c r="K135" s="7"/>
      <c r="L135" s="8"/>
      <c r="M135" s="9"/>
      <c r="O135" s="10"/>
      <c r="P135" s="11"/>
      <c r="Q135" s="12"/>
      <c r="R135" s="13"/>
      <c r="T135" s="6"/>
      <c r="U135" s="7"/>
      <c r="V135" s="8"/>
      <c r="W135" s="9"/>
      <c r="Y135" s="10"/>
      <c r="Z135" s="11"/>
      <c r="AA135" s="12"/>
      <c r="AB135" s="13"/>
      <c r="AD135" s="6"/>
      <c r="AE135" s="7"/>
      <c r="AF135" s="8"/>
      <c r="AG135" s="9"/>
      <c r="AI135" s="10"/>
      <c r="AJ135" s="11"/>
      <c r="AK135" s="12"/>
      <c r="AL135" s="13"/>
      <c r="AN135" s="6"/>
      <c r="AO135" s="7"/>
      <c r="AP135" s="8"/>
      <c r="AQ135" s="9"/>
      <c r="AS135" s="10"/>
      <c r="AT135" s="11"/>
      <c r="AU135" s="12"/>
      <c r="AV135" s="13"/>
      <c r="AX135" s="6"/>
      <c r="AY135" s="7"/>
      <c r="AZ135" s="8"/>
      <c r="BA135" s="9"/>
      <c r="BC135" s="46">
        <f t="shared" si="19"/>
        <v>0</v>
      </c>
      <c r="BD135" s="47">
        <f>(SUM(BE135,'Run distances (Term 2)'!BI135,'Run distances (Term 3)'!BI114,'Run distances (Term 4)'!BI135))</f>
        <v>0.89999999999999991</v>
      </c>
      <c r="BE135" s="47">
        <f t="shared" si="12"/>
        <v>0</v>
      </c>
    </row>
    <row r="136" spans="1:57" x14ac:dyDescent="0.25">
      <c r="A136" s="42" t="s">
        <v>178</v>
      </c>
      <c r="B136" s="43">
        <v>8</v>
      </c>
      <c r="C136" s="42" t="s">
        <v>64</v>
      </c>
      <c r="D136" t="s">
        <v>57</v>
      </c>
      <c r="E136" s="10">
        <v>0</v>
      </c>
      <c r="F136" s="11">
        <v>0</v>
      </c>
      <c r="G136" s="12">
        <v>0</v>
      </c>
      <c r="H136" s="13">
        <v>6</v>
      </c>
      <c r="J136" s="6"/>
      <c r="K136" s="7"/>
      <c r="L136" s="8"/>
      <c r="M136" s="9"/>
      <c r="O136" s="10">
        <v>2</v>
      </c>
      <c r="P136" s="11"/>
      <c r="Q136" s="12"/>
      <c r="R136" s="13"/>
      <c r="T136" s="6"/>
      <c r="U136" s="7"/>
      <c r="V136" s="8"/>
      <c r="W136" s="9">
        <v>5</v>
      </c>
      <c r="Y136" s="10"/>
      <c r="Z136" s="11"/>
      <c r="AA136" s="12">
        <v>3</v>
      </c>
      <c r="AB136" s="13"/>
      <c r="AD136" s="6"/>
      <c r="AE136" s="7"/>
      <c r="AF136" s="8"/>
      <c r="AG136" s="9"/>
      <c r="AI136" s="10"/>
      <c r="AJ136" s="11"/>
      <c r="AK136" s="12"/>
      <c r="AL136" s="13"/>
      <c r="AN136" s="6"/>
      <c r="AO136" s="7"/>
      <c r="AP136" s="8"/>
      <c r="AQ136" s="9"/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16</v>
      </c>
      <c r="BD136" s="47">
        <f>(SUM(BE136,'Run distances (Term 2)'!BI136,'Run distances (Term 3)'!BI115,'Run distances (Term 4)'!BI136))</f>
        <v>6.6</v>
      </c>
      <c r="BE136" s="47">
        <f t="shared" si="12"/>
        <v>4.8</v>
      </c>
    </row>
    <row r="137" spans="1:57" x14ac:dyDescent="0.25">
      <c r="A137" s="42" t="s">
        <v>177</v>
      </c>
      <c r="B137" s="43">
        <v>8</v>
      </c>
      <c r="C137" s="42" t="s">
        <v>64</v>
      </c>
      <c r="D137" t="s">
        <v>48</v>
      </c>
      <c r="E137" s="10"/>
      <c r="F137" s="11"/>
      <c r="G137" s="12"/>
      <c r="H137" s="13"/>
      <c r="J137" s="6">
        <v>0</v>
      </c>
      <c r="K137" s="7">
        <v>2</v>
      </c>
      <c r="L137" s="8"/>
      <c r="M137" s="9"/>
      <c r="O137" s="10"/>
      <c r="P137" s="11"/>
      <c r="Q137" s="12"/>
      <c r="R137" s="13"/>
      <c r="T137" s="6">
        <v>2</v>
      </c>
      <c r="U137" s="7">
        <v>2</v>
      </c>
      <c r="V137" s="8">
        <v>2</v>
      </c>
      <c r="W137" s="9">
        <v>1</v>
      </c>
      <c r="Y137" s="10"/>
      <c r="Z137" s="11">
        <v>2</v>
      </c>
      <c r="AA137" s="12">
        <v>2</v>
      </c>
      <c r="AB137" s="13"/>
      <c r="AD137" s="6"/>
      <c r="AE137" s="7">
        <v>1</v>
      </c>
      <c r="AF137" s="8">
        <v>1</v>
      </c>
      <c r="AG137" s="9"/>
      <c r="AI137" s="10"/>
      <c r="AJ137" s="11">
        <v>2</v>
      </c>
      <c r="AK137" s="12"/>
      <c r="AL137" s="13">
        <v>1</v>
      </c>
      <c r="AN137" s="6"/>
      <c r="AO137" s="7"/>
      <c r="AP137" s="8"/>
      <c r="AQ137" s="9">
        <v>1</v>
      </c>
      <c r="AS137" s="10"/>
      <c r="AT137" s="11">
        <v>1</v>
      </c>
      <c r="AU137" s="12"/>
      <c r="AV137" s="13"/>
      <c r="AX137" s="6"/>
      <c r="AY137" s="7"/>
      <c r="AZ137" s="8"/>
      <c r="BA137" s="9"/>
      <c r="BC137" s="46">
        <f t="shared" si="19"/>
        <v>20</v>
      </c>
      <c r="BD137" s="47">
        <f>(SUM(BE137,'Run distances (Term 2)'!BI137,'Run distances (Term 3)'!BI115,'Run distances (Term 4)'!BI137))</f>
        <v>12</v>
      </c>
      <c r="BE137" s="47">
        <f t="shared" si="12"/>
        <v>6</v>
      </c>
    </row>
    <row r="138" spans="1:57" x14ac:dyDescent="0.25">
      <c r="A138" s="42" t="s">
        <v>176</v>
      </c>
      <c r="B138" s="43">
        <v>9</v>
      </c>
      <c r="C138" s="42" t="s">
        <v>64</v>
      </c>
      <c r="D138" t="s">
        <v>48</v>
      </c>
      <c r="E138" s="10"/>
      <c r="F138" s="11"/>
      <c r="G138" s="12"/>
      <c r="H138" s="13"/>
      <c r="J138" s="6">
        <v>0</v>
      </c>
      <c r="K138" s="7">
        <v>1</v>
      </c>
      <c r="L138" s="8"/>
      <c r="M138" s="9"/>
      <c r="O138" s="10"/>
      <c r="P138" s="11"/>
      <c r="Q138" s="12"/>
      <c r="R138" s="13"/>
      <c r="T138" s="6"/>
      <c r="U138" s="7">
        <v>2</v>
      </c>
      <c r="V138" s="8"/>
      <c r="W138" s="9">
        <v>1</v>
      </c>
      <c r="Y138" s="10"/>
      <c r="Z138" s="11">
        <v>2</v>
      </c>
      <c r="AA138" s="12">
        <v>3</v>
      </c>
      <c r="AB138" s="13"/>
      <c r="AD138" s="6"/>
      <c r="AE138" s="7">
        <v>3</v>
      </c>
      <c r="AF138" s="8"/>
      <c r="AG138" s="9"/>
      <c r="AI138" s="10"/>
      <c r="AJ138" s="11"/>
      <c r="AK138" s="12"/>
      <c r="AL138" s="13"/>
      <c r="AN138" s="6"/>
      <c r="AO138" s="7">
        <v>2</v>
      </c>
      <c r="AP138" s="8">
        <v>2</v>
      </c>
      <c r="AQ138" s="9">
        <v>1</v>
      </c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17</v>
      </c>
      <c r="BD138" s="47">
        <f>(SUM(BE138,'Run distances (Term 2)'!BI138,'Run distances (Term 3)'!BI116,'Run distances (Term 4)'!BI138))</f>
        <v>5.6999999999999993</v>
      </c>
      <c r="BE138" s="47">
        <f t="shared" si="12"/>
        <v>5.0999999999999996</v>
      </c>
    </row>
    <row r="139" spans="1:57" x14ac:dyDescent="0.25">
      <c r="A139" s="42" t="s">
        <v>175</v>
      </c>
      <c r="B139" s="43">
        <v>1</v>
      </c>
      <c r="C139" s="42" t="s">
        <v>64</v>
      </c>
      <c r="D139" t="s">
        <v>62</v>
      </c>
      <c r="E139" s="10"/>
      <c r="F139" s="11"/>
      <c r="G139" s="12"/>
      <c r="H139" s="13"/>
      <c r="J139" s="6"/>
      <c r="K139" s="7"/>
      <c r="L139" s="8"/>
      <c r="M139" s="9">
        <v>2</v>
      </c>
      <c r="O139" s="10"/>
      <c r="P139" s="11"/>
      <c r="Q139" s="12"/>
      <c r="R139" s="13"/>
      <c r="T139" s="6"/>
      <c r="U139" s="7"/>
      <c r="V139" s="8"/>
      <c r="W139" s="9"/>
      <c r="Y139" s="10"/>
      <c r="Z139" s="11"/>
      <c r="AA139" s="12"/>
      <c r="AB139" s="13"/>
      <c r="AD139" s="6"/>
      <c r="AE139" s="7"/>
      <c r="AF139" s="8"/>
      <c r="AG139" s="9"/>
      <c r="AI139" s="10"/>
      <c r="AJ139" s="11"/>
      <c r="AK139" s="12"/>
      <c r="AL139" s="13"/>
      <c r="AN139" s="6"/>
      <c r="AO139" s="7"/>
      <c r="AP139" s="8"/>
      <c r="AQ139" s="9"/>
      <c r="AS139" s="10"/>
      <c r="AT139" s="11"/>
      <c r="AU139" s="12"/>
      <c r="AV139" s="13"/>
      <c r="AX139" s="6"/>
      <c r="AY139" s="7"/>
      <c r="AZ139" s="8"/>
      <c r="BA139" s="9"/>
      <c r="BC139" s="46">
        <f t="shared" si="19"/>
        <v>2</v>
      </c>
      <c r="BD139" s="47">
        <f>(SUM(BE139,'Run distances (Term 2)'!BI139,'Run distances (Term 3)'!BI117,'Run distances (Term 4)'!BI139))</f>
        <v>3.3</v>
      </c>
      <c r="BE139" s="47">
        <f t="shared" si="12"/>
        <v>0.6</v>
      </c>
    </row>
    <row r="140" spans="1:57" x14ac:dyDescent="0.25">
      <c r="A140" s="42" t="s">
        <v>379</v>
      </c>
      <c r="B140" s="43">
        <v>1</v>
      </c>
      <c r="C140" s="42" t="s">
        <v>64</v>
      </c>
      <c r="D140" t="s">
        <v>355</v>
      </c>
      <c r="E140" s="10"/>
      <c r="F140" s="11"/>
      <c r="G140" s="12"/>
      <c r="H140" s="13"/>
      <c r="J140" s="6"/>
      <c r="K140" s="7"/>
      <c r="L140" s="8"/>
      <c r="M140" s="9"/>
      <c r="O140" s="10"/>
      <c r="P140" s="11"/>
      <c r="Q140" s="12"/>
      <c r="R140" s="13"/>
      <c r="T140" s="6"/>
      <c r="U140" s="7"/>
      <c r="V140" s="8"/>
      <c r="W140" s="9"/>
      <c r="Y140" s="10"/>
      <c r="Z140" s="11"/>
      <c r="AA140" s="12"/>
      <c r="AB140" s="13"/>
      <c r="AD140" s="6"/>
      <c r="AE140" s="7"/>
      <c r="AF140" s="8"/>
      <c r="AG140" s="9"/>
      <c r="AI140" s="10"/>
      <c r="AJ140" s="11"/>
      <c r="AK140" s="12"/>
      <c r="AL140" s="13"/>
      <c r="AN140" s="6"/>
      <c r="AO140" s="7"/>
      <c r="AP140" s="8"/>
      <c r="AQ140" s="9"/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0</v>
      </c>
      <c r="BD140" s="47">
        <f>(SUM(BE140,'Run distances (Term 2)'!BI140,'Run distances (Term 3)'!BI118,'Run distances (Term 4)'!BI140))</f>
        <v>1.7999999999999998</v>
      </c>
      <c r="BE140" s="47">
        <f t="shared" si="12"/>
        <v>0</v>
      </c>
    </row>
    <row r="141" spans="1:57" x14ac:dyDescent="0.25">
      <c r="A141" s="42" t="s">
        <v>380</v>
      </c>
      <c r="B141" s="43">
        <v>1</v>
      </c>
      <c r="C141" s="42" t="s">
        <v>64</v>
      </c>
      <c r="D141" t="s">
        <v>381</v>
      </c>
      <c r="E141" s="10"/>
      <c r="F141" s="11"/>
      <c r="G141" s="12"/>
      <c r="H141" s="13"/>
      <c r="J141" s="6"/>
      <c r="K141" s="7"/>
      <c r="L141" s="8"/>
      <c r="M141" s="9"/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/>
      <c r="AL141" s="13"/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/>
      <c r="BC141" s="46">
        <f t="shared" si="19"/>
        <v>0</v>
      </c>
      <c r="BD141" s="47">
        <f>(SUM(BE141,'Run distances (Term 2)'!BI141,'Run distances (Term 3)'!BI119,'Run distances (Term 4)'!BI141))</f>
        <v>5.0999999999999996</v>
      </c>
      <c r="BE141" s="47">
        <f t="shared" si="12"/>
        <v>0</v>
      </c>
    </row>
    <row r="142" spans="1:57" x14ac:dyDescent="0.25">
      <c r="A142" s="42" t="s">
        <v>174</v>
      </c>
      <c r="B142" s="42" t="s">
        <v>53</v>
      </c>
      <c r="C142" s="42" t="s">
        <v>64</v>
      </c>
      <c r="D142" t="s">
        <v>54</v>
      </c>
      <c r="E142" s="10"/>
      <c r="F142" s="11"/>
      <c r="G142" s="12"/>
      <c r="H142" s="13"/>
      <c r="J142" s="6"/>
      <c r="K142" s="7"/>
      <c r="L142" s="8"/>
      <c r="M142" s="9">
        <v>1</v>
      </c>
      <c r="O142" s="10"/>
      <c r="P142" s="11"/>
      <c r="Q142" s="12"/>
      <c r="R142" s="13"/>
      <c r="T142" s="6"/>
      <c r="U142" s="7"/>
      <c r="V142" s="8"/>
      <c r="W142" s="9"/>
      <c r="Y142" s="10"/>
      <c r="Z142" s="11"/>
      <c r="AA142" s="12"/>
      <c r="AB142" s="13"/>
      <c r="AD142" s="6"/>
      <c r="AE142" s="7"/>
      <c r="AF142" s="8"/>
      <c r="AG142" s="9"/>
      <c r="AI142" s="10"/>
      <c r="AJ142" s="11"/>
      <c r="AK142" s="12">
        <v>1</v>
      </c>
      <c r="AL142" s="13">
        <v>1</v>
      </c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3</v>
      </c>
      <c r="BD142" s="47">
        <f>(SUM(BE142,'Run distances (Term 2)'!BI142,'Run distances (Term 3)'!BI120,'Run distances (Term 4)'!BI142))</f>
        <v>3.9</v>
      </c>
      <c r="BE142" s="47">
        <f t="shared" si="12"/>
        <v>0.89999999999999991</v>
      </c>
    </row>
    <row r="143" spans="1:57" x14ac:dyDescent="0.25">
      <c r="A143" s="42" t="s">
        <v>375</v>
      </c>
      <c r="B143" s="42" t="s">
        <v>53</v>
      </c>
      <c r="C143" s="42" t="s">
        <v>64</v>
      </c>
      <c r="D143" t="s">
        <v>54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>
        <v>1</v>
      </c>
      <c r="AL143" s="13">
        <v>1</v>
      </c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>
        <v>1</v>
      </c>
      <c r="BC143" s="46">
        <f t="shared" si="19"/>
        <v>3</v>
      </c>
      <c r="BD143" s="47">
        <f>(SUM(BE143,'Run distances (Term 2)'!BI143,'Run distances (Term 3)'!BI121,'Run distances (Term 4)'!BI143))</f>
        <v>5.4</v>
      </c>
      <c r="BE143" s="47">
        <f t="shared" si="12"/>
        <v>0.89999999999999991</v>
      </c>
    </row>
    <row r="144" spans="1:57" x14ac:dyDescent="0.25">
      <c r="A144" s="42" t="s">
        <v>376</v>
      </c>
      <c r="B144" s="42" t="s">
        <v>53</v>
      </c>
      <c r="C144" s="42" t="s">
        <v>64</v>
      </c>
      <c r="D144" t="s">
        <v>54</v>
      </c>
      <c r="E144" s="10">
        <v>0</v>
      </c>
      <c r="F144" s="11">
        <v>0</v>
      </c>
      <c r="G144" s="12">
        <v>0</v>
      </c>
      <c r="H144" s="13">
        <v>2</v>
      </c>
      <c r="J144" s="6"/>
      <c r="K144" s="7"/>
      <c r="L144" s="8"/>
      <c r="M144" s="9">
        <v>2</v>
      </c>
      <c r="O144" s="10">
        <v>2</v>
      </c>
      <c r="P144" s="11">
        <v>2</v>
      </c>
      <c r="Q144" s="12">
        <v>2</v>
      </c>
      <c r="R144" s="13">
        <v>1</v>
      </c>
      <c r="T144" s="6">
        <v>4</v>
      </c>
      <c r="U144" s="7">
        <v>3</v>
      </c>
      <c r="V144" s="8"/>
      <c r="W144" s="9">
        <v>2</v>
      </c>
      <c r="Y144" s="10">
        <v>2</v>
      </c>
      <c r="Z144" s="11">
        <v>1</v>
      </c>
      <c r="AA144" s="12">
        <v>1</v>
      </c>
      <c r="AB144" s="13"/>
      <c r="AD144" s="6"/>
      <c r="AE144" s="7">
        <v>1</v>
      </c>
      <c r="AF144" s="8">
        <v>1</v>
      </c>
      <c r="AG144" s="9"/>
      <c r="AI144" s="10"/>
      <c r="AJ144" s="11"/>
      <c r="AK144" s="12"/>
      <c r="AL144" s="13">
        <v>1</v>
      </c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27</v>
      </c>
      <c r="BD144" s="47">
        <f>(SUM(BE144,'Run distances (Term 2)'!BI144,'Run distances (Term 3)'!BI122,'Run distances (Term 4)'!BI144))</f>
        <v>15.299999999999999</v>
      </c>
      <c r="BE144" s="47">
        <f t="shared" si="12"/>
        <v>8.1</v>
      </c>
    </row>
    <row r="145" spans="1:57" x14ac:dyDescent="0.25">
      <c r="A145" s="42" t="s">
        <v>349</v>
      </c>
      <c r="B145" s="42">
        <v>1</v>
      </c>
      <c r="C145" s="42" t="s">
        <v>64</v>
      </c>
      <c r="D145" t="s">
        <v>355</v>
      </c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/>
      <c r="AL145" s="13"/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/>
      <c r="BC145" s="46">
        <f t="shared" si="19"/>
        <v>0</v>
      </c>
      <c r="BD145" s="47">
        <f>(SUM(BE145,'Run distances (Term 2)'!BI145,'Run distances (Term 3)'!BI123,'Run distances (Term 4)'!BI145))</f>
        <v>3</v>
      </c>
      <c r="BE145" s="47">
        <f t="shared" si="12"/>
        <v>0</v>
      </c>
    </row>
    <row r="146" spans="1:57" x14ac:dyDescent="0.25">
      <c r="A146" s="42" t="s">
        <v>382</v>
      </c>
      <c r="B146" s="42" t="s">
        <v>53</v>
      </c>
      <c r="C146" s="42" t="s">
        <v>64</v>
      </c>
      <c r="D146" s="50" t="s">
        <v>54</v>
      </c>
      <c r="E146" s="10"/>
      <c r="F146" s="11"/>
      <c r="G146" s="12"/>
      <c r="H146" s="13"/>
      <c r="J146" s="6"/>
      <c r="K146" s="7"/>
      <c r="L146" s="8"/>
      <c r="M146" s="9"/>
      <c r="O146" s="10"/>
      <c r="P146" s="11"/>
      <c r="Q146" s="12"/>
      <c r="R146" s="13"/>
      <c r="T146" s="6"/>
      <c r="U146" s="7"/>
      <c r="V146" s="8"/>
      <c r="W146" s="9"/>
      <c r="Y146" s="10"/>
      <c r="Z146" s="11"/>
      <c r="AA146" s="12"/>
      <c r="AB146" s="13"/>
      <c r="AD146" s="6"/>
      <c r="AE146" s="7"/>
      <c r="AF146" s="8"/>
      <c r="AG146" s="9"/>
      <c r="AI146" s="10"/>
      <c r="AJ146" s="11"/>
      <c r="AK146" s="12"/>
      <c r="AL146" s="13"/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0</v>
      </c>
      <c r="BD146" s="47">
        <f>(SUM(BE146,'Run distances (Term 2)'!BI146,'Run distances (Term 3)'!BI124,'Run distances (Term 4)'!BI146))</f>
        <v>2.1</v>
      </c>
      <c r="BE146" s="47">
        <f t="shared" si="12"/>
        <v>0</v>
      </c>
    </row>
    <row r="147" spans="1:57" x14ac:dyDescent="0.25">
      <c r="A147" s="42" t="s">
        <v>346</v>
      </c>
      <c r="B147" s="42"/>
      <c r="C147" s="42" t="s">
        <v>64</v>
      </c>
      <c r="D147" s="51"/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3)'!BI125,'Run distances (Term 4)'!BI147))</f>
        <v>3.3</v>
      </c>
      <c r="BE147" s="47">
        <f t="shared" si="12"/>
        <v>0</v>
      </c>
    </row>
    <row r="148" spans="1:57" x14ac:dyDescent="0.25">
      <c r="A148" s="42" t="s">
        <v>418</v>
      </c>
      <c r="B148" s="42">
        <v>5</v>
      </c>
      <c r="C148" s="42" t="s">
        <v>64</v>
      </c>
      <c r="D148" s="51"/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3)'!BI126,'Run distances (Term 4)'!BI148))</f>
        <v>3.9</v>
      </c>
      <c r="BE148" s="47">
        <f t="shared" si="12"/>
        <v>0</v>
      </c>
    </row>
    <row r="149" spans="1:57" x14ac:dyDescent="0.25">
      <c r="A149" s="42" t="s">
        <v>350</v>
      </c>
      <c r="B149" s="42">
        <v>3</v>
      </c>
      <c r="C149" s="42" t="s">
        <v>64</v>
      </c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3)'!BI127,'Run distances (Term 4)'!BI149))</f>
        <v>0.6</v>
      </c>
      <c r="BE149" s="47">
        <f t="shared" si="12"/>
        <v>0</v>
      </c>
    </row>
    <row r="150" spans="1:57" x14ac:dyDescent="0.25">
      <c r="A150" s="42" t="s">
        <v>429</v>
      </c>
      <c r="B150" s="42"/>
      <c r="C150" s="42" t="s">
        <v>64</v>
      </c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3)'!BI128,'Run distances (Term 4)'!BI150))</f>
        <v>5.0999999999999996</v>
      </c>
      <c r="BE150" s="47">
        <f t="shared" si="12"/>
        <v>0</v>
      </c>
    </row>
    <row r="151" spans="1:57" x14ac:dyDescent="0.25">
      <c r="A151" s="42" t="s">
        <v>430</v>
      </c>
      <c r="B151" s="42"/>
      <c r="C151" s="42" t="s">
        <v>64</v>
      </c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3)'!BI129,'Run distances (Term 4)'!BI151))</f>
        <v>2.1</v>
      </c>
      <c r="BE151" s="47">
        <f t="shared" si="12"/>
        <v>0</v>
      </c>
    </row>
    <row r="152" spans="1:57" x14ac:dyDescent="0.25">
      <c r="A152" s="42" t="s">
        <v>431</v>
      </c>
      <c r="B152" s="42"/>
      <c r="C152" s="42" t="s">
        <v>64</v>
      </c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3)'!BI130,'Run distances (Term 4)'!BI152))</f>
        <v>1.2</v>
      </c>
      <c r="BE152" s="47">
        <f t="shared" si="12"/>
        <v>0</v>
      </c>
    </row>
    <row r="153" spans="1:57" x14ac:dyDescent="0.25">
      <c r="A153" s="42" t="s">
        <v>432</v>
      </c>
      <c r="B153" s="42"/>
      <c r="C153" s="42" t="s">
        <v>64</v>
      </c>
      <c r="D153" s="51"/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si="19"/>
        <v>0</v>
      </c>
      <c r="BD153" s="47">
        <f>(SUM(BE153,'Run distances (Term 2)'!BI153,'Run distances (Term 3)'!BI131,'Run distances (Term 4)'!BI153))</f>
        <v>5.0999999999999996</v>
      </c>
      <c r="BE153" s="47">
        <f t="shared" si="12"/>
        <v>0</v>
      </c>
    </row>
    <row r="154" spans="1:57" x14ac:dyDescent="0.25">
      <c r="A154" s="42" t="s">
        <v>433</v>
      </c>
      <c r="B154" s="42"/>
      <c r="C154" s="42" t="s">
        <v>64</v>
      </c>
      <c r="D154" s="51"/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19"/>
        <v>0</v>
      </c>
      <c r="BD154" s="47">
        <f>(SUM(BE154,'Run distances (Term 2)'!BI154,'Run distances (Term 3)'!BI132,'Run distances (Term 4)'!BI154))</f>
        <v>3.3</v>
      </c>
      <c r="BE154" s="47">
        <f t="shared" si="12"/>
        <v>0</v>
      </c>
    </row>
    <row r="155" spans="1:57" x14ac:dyDescent="0.25">
      <c r="A155" s="42" t="s">
        <v>383</v>
      </c>
      <c r="B155" s="42"/>
      <c r="C155" s="42" t="s">
        <v>64</v>
      </c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ref="BC155:BC158" si="20">SUM(E155:BA155)</f>
        <v>0</v>
      </c>
      <c r="BD155" s="47">
        <f>(SUM(BE155,'Run distances (Term 2)'!BI155,'Run distances (Term 3)'!BI132,'Run distances (Term 4)'!BI155))</f>
        <v>1.7999999999999998</v>
      </c>
      <c r="BE155" s="47">
        <f t="shared" ref="BE155:BE158" si="21">(SUM(E155:BB155)*$D$2)</f>
        <v>0</v>
      </c>
    </row>
    <row r="156" spans="1:57" x14ac:dyDescent="0.25">
      <c r="A156" s="42" t="s">
        <v>442</v>
      </c>
      <c r="B156" s="42"/>
      <c r="C156" s="42" t="s">
        <v>64</v>
      </c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20"/>
        <v>0</v>
      </c>
      <c r="BD156" s="47">
        <f>(SUM(BE156,'Run distances (Term 2)'!BI156,'Run distances (Term 3)'!BI132,'Run distances (Term 4)'!BI156))</f>
        <v>0.6</v>
      </c>
      <c r="BE156" s="47">
        <f t="shared" si="21"/>
        <v>0</v>
      </c>
    </row>
    <row r="157" spans="1:57" x14ac:dyDescent="0.25">
      <c r="A157" s="42" t="s">
        <v>443</v>
      </c>
      <c r="B157" s="42"/>
      <c r="C157" s="42" t="s">
        <v>64</v>
      </c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  <c r="BC157" s="46">
        <f t="shared" si="20"/>
        <v>0</v>
      </c>
      <c r="BD157" s="47">
        <f>(SUM(BE157,'Run distances (Term 2)'!BI157,'Run distances (Term 3)'!BI132,'Run distances (Term 4)'!BI157))</f>
        <v>0.3</v>
      </c>
      <c r="BE157" s="47">
        <f t="shared" si="21"/>
        <v>0</v>
      </c>
    </row>
    <row r="158" spans="1:57" x14ac:dyDescent="0.25">
      <c r="A158" s="42" t="s">
        <v>450</v>
      </c>
      <c r="B158" s="42"/>
      <c r="C158" s="42" t="s">
        <v>64</v>
      </c>
      <c r="E158" s="10"/>
      <c r="F158" s="11"/>
      <c r="G158" s="12"/>
      <c r="H158" s="13"/>
      <c r="J158" s="6"/>
      <c r="K158" s="7"/>
      <c r="L158" s="8"/>
      <c r="M158" s="9"/>
      <c r="O158" s="10"/>
      <c r="P158" s="11"/>
      <c r="Q158" s="12"/>
      <c r="R158" s="13"/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si="20"/>
        <v>0</v>
      </c>
      <c r="BD158" s="47">
        <f>(SUM(BE158,'Run distances (Term 2)'!BI158,'Run distances (Term 3)'!BI132,'Run distances (Term 4)'!BI158))</f>
        <v>0.6</v>
      </c>
      <c r="BE158" s="47">
        <f t="shared" si="21"/>
        <v>0</v>
      </c>
    </row>
    <row r="159" spans="1:57" x14ac:dyDescent="0.25">
      <c r="A159" s="42" t="s">
        <v>455</v>
      </c>
      <c r="B159" s="42"/>
      <c r="C159" s="42" t="s">
        <v>64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/>
      <c r="T159" s="6"/>
      <c r="U159" s="7"/>
      <c r="V159" s="8"/>
      <c r="W159" s="9"/>
      <c r="Y159" s="10"/>
      <c r="Z159" s="11"/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19"/>
        <v>0</v>
      </c>
      <c r="BD159" s="47">
        <f>(SUM(BE159,'Run distances (Term 2)'!BI159,'Run distances (Term 3)'!BI133,'Run distances (Term 4)'!BI159))</f>
        <v>0.3</v>
      </c>
      <c r="BE159" s="47">
        <f t="shared" si="12"/>
        <v>0</v>
      </c>
    </row>
    <row r="160" spans="1:57" x14ac:dyDescent="0.25">
      <c r="E160" s="10"/>
      <c r="F160" s="11"/>
      <c r="G160" s="12"/>
      <c r="H160" s="13"/>
      <c r="J160" s="6"/>
      <c r="K160" s="7"/>
      <c r="L160" s="8"/>
      <c r="M160" s="9"/>
      <c r="O160" s="10"/>
      <c r="P160" s="11"/>
      <c r="Q160" s="12"/>
      <c r="R160" s="13"/>
      <c r="T160" s="6"/>
      <c r="U160" s="7"/>
      <c r="V160" s="8"/>
      <c r="W160" s="9"/>
      <c r="Y160" s="10"/>
      <c r="Z160" s="11"/>
      <c r="AA160" s="12"/>
      <c r="AB160" s="13"/>
      <c r="AD160" s="6"/>
      <c r="AE160" s="7"/>
      <c r="AF160" s="8"/>
      <c r="AG160" s="9"/>
      <c r="AI160" s="10"/>
      <c r="AJ160" s="11"/>
      <c r="AK160" s="12"/>
      <c r="AL160" s="13"/>
      <c r="AN160" s="6"/>
      <c r="AO160" s="7"/>
      <c r="AP160" s="8"/>
      <c r="AQ160" s="9"/>
      <c r="AS160" s="10"/>
      <c r="AT160" s="11"/>
      <c r="AU160" s="12"/>
      <c r="AV160" s="13"/>
      <c r="AX160" s="6"/>
      <c r="AY160" s="7"/>
      <c r="AZ160" s="8"/>
      <c r="BA160" s="9"/>
    </row>
    <row r="161" spans="1:57" x14ac:dyDescent="0.25">
      <c r="A161" s="40" t="s">
        <v>279</v>
      </c>
      <c r="B161" s="41">
        <v>2</v>
      </c>
      <c r="C161" s="40" t="s">
        <v>66</v>
      </c>
      <c r="D161" t="s">
        <v>52</v>
      </c>
      <c r="E161" s="10"/>
      <c r="F161" s="11"/>
      <c r="G161" s="12"/>
      <c r="H161" s="13"/>
      <c r="J161" s="6"/>
      <c r="K161" s="7"/>
      <c r="L161" s="8"/>
      <c r="M161" s="9">
        <v>1</v>
      </c>
      <c r="O161" s="10"/>
      <c r="P161" s="11">
        <v>2</v>
      </c>
      <c r="Q161" s="12"/>
      <c r="R161" s="13">
        <v>1</v>
      </c>
      <c r="T161" s="6"/>
      <c r="U161" s="7"/>
      <c r="V161" s="8"/>
      <c r="W161" s="9"/>
      <c r="Y161" s="10"/>
      <c r="Z161" s="11"/>
      <c r="AA161" s="12"/>
      <c r="AB161" s="13"/>
      <c r="AD161" s="6"/>
      <c r="AE161" s="7"/>
      <c r="AF161" s="8"/>
      <c r="AG161" s="9"/>
      <c r="AI161" s="10"/>
      <c r="AJ161" s="11"/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ref="BC161" si="22">SUM(E161:BA161)</f>
        <v>4</v>
      </c>
      <c r="BD161" s="47">
        <f>(SUM(BE161,'Run distances (Term 2)'!BI161,'Run distances (Term 3)'!BI122,'Run distances (Term 4)'!BI161))</f>
        <v>2.0999999999999996</v>
      </c>
      <c r="BE161" s="47">
        <f t="shared" si="12"/>
        <v>1.2</v>
      </c>
    </row>
    <row r="162" spans="1:57" x14ac:dyDescent="0.25">
      <c r="A162" s="40" t="s">
        <v>384</v>
      </c>
      <c r="B162" s="41">
        <v>2</v>
      </c>
      <c r="C162" s="40" t="s">
        <v>66</v>
      </c>
      <c r="D162" t="s">
        <v>52</v>
      </c>
      <c r="E162" s="10"/>
      <c r="F162" s="11"/>
      <c r="G162" s="12"/>
      <c r="H162" s="13"/>
      <c r="J162" s="6"/>
      <c r="K162" s="7"/>
      <c r="L162" s="8"/>
      <c r="M162" s="9"/>
      <c r="O162" s="10"/>
      <c r="P162" s="11"/>
      <c r="Q162" s="12"/>
      <c r="R162" s="13">
        <v>1</v>
      </c>
      <c r="T162" s="6"/>
      <c r="U162" s="7">
        <v>1</v>
      </c>
      <c r="V162" s="8"/>
      <c r="W162" s="9"/>
      <c r="Y162" s="10"/>
      <c r="Z162" s="11">
        <v>1</v>
      </c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/>
      <c r="AP162" s="8"/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si="15"/>
        <v>3</v>
      </c>
      <c r="BD162" s="47">
        <f>(SUM(BE162,'Run distances (Term 2)'!BI162,'Run distances (Term 3)'!BI123,'Run distances (Term 4)'!BI162))</f>
        <v>1.8</v>
      </c>
      <c r="BE162" s="47">
        <f t="shared" si="12"/>
        <v>0.89999999999999991</v>
      </c>
    </row>
    <row r="163" spans="1:57" x14ac:dyDescent="0.25">
      <c r="A163" s="40" t="s">
        <v>281</v>
      </c>
      <c r="B163" s="41">
        <v>2</v>
      </c>
      <c r="C163" s="40" t="s">
        <v>66</v>
      </c>
      <c r="D163" t="s">
        <v>52</v>
      </c>
      <c r="E163" s="10">
        <v>2</v>
      </c>
      <c r="F163" s="11">
        <v>2</v>
      </c>
      <c r="G163" s="12">
        <v>2</v>
      </c>
      <c r="H163" s="13">
        <v>1</v>
      </c>
      <c r="J163" s="6"/>
      <c r="K163" s="7"/>
      <c r="L163" s="8">
        <v>2</v>
      </c>
      <c r="M163" s="9">
        <v>2</v>
      </c>
      <c r="O163" s="10"/>
      <c r="P163" s="11">
        <v>2</v>
      </c>
      <c r="Q163" s="12"/>
      <c r="R163" s="13"/>
      <c r="T163" s="6">
        <v>3</v>
      </c>
      <c r="U163" s="7"/>
      <c r="V163" s="8"/>
      <c r="W163" s="9">
        <v>4</v>
      </c>
      <c r="Y163" s="10"/>
      <c r="Z163" s="11"/>
      <c r="AA163" s="12"/>
      <c r="AB163" s="13"/>
      <c r="AD163" s="6"/>
      <c r="AE163" s="7"/>
      <c r="AF163" s="8"/>
      <c r="AG163" s="9"/>
      <c r="AI163" s="10"/>
      <c r="AJ163" s="11">
        <v>4</v>
      </c>
      <c r="AK163" s="12"/>
      <c r="AL163" s="13"/>
      <c r="AN163" s="6"/>
      <c r="AO163" s="7"/>
      <c r="AP163" s="8">
        <v>1</v>
      </c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15"/>
        <v>25</v>
      </c>
      <c r="BD163" s="47">
        <f>(SUM(BE163,'Run distances (Term 2)'!BI163,'Run distances (Term 3)'!BI124,'Run distances (Term 4)'!BI163))</f>
        <v>18.600000000000001</v>
      </c>
      <c r="BE163" s="47">
        <f t="shared" si="12"/>
        <v>7.5</v>
      </c>
    </row>
    <row r="164" spans="1:57" x14ac:dyDescent="0.25">
      <c r="A164" s="40" t="s">
        <v>282</v>
      </c>
      <c r="B164" s="41">
        <v>2</v>
      </c>
      <c r="C164" s="40" t="s">
        <v>66</v>
      </c>
      <c r="D164" t="s">
        <v>52</v>
      </c>
      <c r="E164" s="10">
        <v>2</v>
      </c>
      <c r="F164" s="11">
        <v>2</v>
      </c>
      <c r="G164" s="12">
        <v>5</v>
      </c>
      <c r="H164" s="13">
        <v>1</v>
      </c>
      <c r="J164" s="6"/>
      <c r="K164" s="7"/>
      <c r="L164" s="8">
        <v>3</v>
      </c>
      <c r="M164" s="9">
        <v>2</v>
      </c>
      <c r="O164" s="10"/>
      <c r="P164" s="11">
        <v>2</v>
      </c>
      <c r="Q164" s="12"/>
      <c r="R164" s="13">
        <v>5</v>
      </c>
      <c r="T164" s="6">
        <v>3</v>
      </c>
      <c r="U164" s="7"/>
      <c r="V164" s="8"/>
      <c r="W164" s="9">
        <v>4</v>
      </c>
      <c r="Y164" s="10"/>
      <c r="Z164" s="11">
        <v>3</v>
      </c>
      <c r="AA164" s="12"/>
      <c r="AB164" s="13"/>
      <c r="AD164" s="6"/>
      <c r="AE164" s="7"/>
      <c r="AF164" s="8"/>
      <c r="AG164" s="9"/>
      <c r="AI164" s="10"/>
      <c r="AJ164" s="11">
        <v>3</v>
      </c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  <c r="BC164" s="46">
        <f t="shared" si="15"/>
        <v>35</v>
      </c>
      <c r="BD164" s="47">
        <f>(SUM(BE164,'Run distances (Term 2)'!BI164,'Run distances (Term 3)'!BI125,'Run distances (Term 4)'!BI164))</f>
        <v>23.7</v>
      </c>
      <c r="BE164" s="47">
        <f t="shared" si="12"/>
        <v>10.5</v>
      </c>
    </row>
    <row r="165" spans="1:57" x14ac:dyDescent="0.25">
      <c r="A165" s="40" t="s">
        <v>215</v>
      </c>
      <c r="B165" s="41">
        <v>2</v>
      </c>
      <c r="C165" s="40" t="s">
        <v>66</v>
      </c>
      <c r="D165" t="s">
        <v>52</v>
      </c>
      <c r="E165" s="10">
        <v>2</v>
      </c>
      <c r="F165" s="11">
        <v>0</v>
      </c>
      <c r="G165" s="12">
        <v>1</v>
      </c>
      <c r="H165" s="13">
        <v>3</v>
      </c>
      <c r="J165" s="6">
        <v>0</v>
      </c>
      <c r="K165" s="7">
        <v>3</v>
      </c>
      <c r="L165" s="8">
        <v>3</v>
      </c>
      <c r="M165" s="9">
        <v>4</v>
      </c>
      <c r="O165" s="10"/>
      <c r="P165" s="11">
        <v>2</v>
      </c>
      <c r="Q165" s="12"/>
      <c r="R165" s="13">
        <v>6</v>
      </c>
      <c r="T165" s="6">
        <v>3</v>
      </c>
      <c r="U165" s="7">
        <v>3</v>
      </c>
      <c r="V165" s="8"/>
      <c r="W165" s="9">
        <v>4</v>
      </c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>
        <v>5</v>
      </c>
      <c r="AP165" s="8">
        <v>4</v>
      </c>
      <c r="AQ165" s="9"/>
      <c r="AS165" s="10"/>
      <c r="AT165" s="11"/>
      <c r="AU165" s="12"/>
      <c r="AV165" s="13"/>
      <c r="AX165" s="6"/>
      <c r="AY165" s="7"/>
      <c r="AZ165" s="8"/>
      <c r="BA165" s="9"/>
      <c r="BC165" s="46">
        <f t="shared" ref="BC165:BC198" si="23">SUM(E165:BA165)</f>
        <v>43</v>
      </c>
      <c r="BD165" s="47">
        <f>(SUM(BE165,'Run distances (Term 2)'!BI165,'Run distances (Term 3)'!BI126,'Run distances (Term 4)'!BI165))</f>
        <v>35.099999999999994</v>
      </c>
      <c r="BE165" s="47">
        <f t="shared" si="12"/>
        <v>12.9</v>
      </c>
    </row>
    <row r="166" spans="1:57" x14ac:dyDescent="0.25">
      <c r="A166" s="40" t="s">
        <v>327</v>
      </c>
      <c r="B166" s="41">
        <v>2</v>
      </c>
      <c r="C166" s="40" t="s">
        <v>66</v>
      </c>
      <c r="D166" t="s">
        <v>52</v>
      </c>
      <c r="E166" s="10">
        <v>1</v>
      </c>
      <c r="F166" s="11">
        <v>0</v>
      </c>
      <c r="G166" s="12">
        <v>2</v>
      </c>
      <c r="H166" s="13">
        <v>0</v>
      </c>
      <c r="J166" s="6"/>
      <c r="K166" s="7"/>
      <c r="L166" s="8"/>
      <c r="M166" s="9"/>
      <c r="O166" s="10"/>
      <c r="P166" s="11"/>
      <c r="Q166" s="12"/>
      <c r="R166" s="13"/>
      <c r="T166" s="6"/>
      <c r="U166" s="7"/>
      <c r="V166" s="8"/>
      <c r="W166" s="9"/>
      <c r="Y166" s="10"/>
      <c r="Z166" s="11"/>
      <c r="AA166" s="12"/>
      <c r="AB166" s="13"/>
      <c r="AD166" s="6"/>
      <c r="AE166" s="7"/>
      <c r="AF166" s="8"/>
      <c r="AG166" s="9"/>
      <c r="AI166" s="10"/>
      <c r="AJ166" s="11"/>
      <c r="AK166" s="12"/>
      <c r="AL166" s="13"/>
      <c r="AN166" s="6"/>
      <c r="AO166" s="7"/>
      <c r="AP166" s="8"/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23"/>
        <v>3</v>
      </c>
      <c r="BD166" s="47">
        <f>(SUM(BE166,'Run distances (Term 2)'!BI166,'Run distances (Term 3)'!BI127,'Run distances (Term 4)'!BI166))</f>
        <v>0.89999999999999991</v>
      </c>
      <c r="BE166" s="47">
        <f t="shared" si="12"/>
        <v>0.89999999999999991</v>
      </c>
    </row>
    <row r="167" spans="1:57" x14ac:dyDescent="0.25">
      <c r="A167" s="40" t="s">
        <v>326</v>
      </c>
      <c r="B167" s="41">
        <v>10</v>
      </c>
      <c r="C167" s="40" t="s">
        <v>66</v>
      </c>
      <c r="D167" t="s">
        <v>59</v>
      </c>
      <c r="E167" s="10"/>
      <c r="F167" s="11"/>
      <c r="G167" s="12"/>
      <c r="H167" s="13"/>
      <c r="J167" s="6">
        <v>0</v>
      </c>
      <c r="K167" s="7">
        <v>1</v>
      </c>
      <c r="L167" s="8"/>
      <c r="M167" s="9"/>
      <c r="O167" s="10"/>
      <c r="P167" s="11"/>
      <c r="Q167" s="12"/>
      <c r="R167" s="13"/>
      <c r="T167" s="6"/>
      <c r="U167" s="7"/>
      <c r="V167" s="8"/>
      <c r="W167" s="9"/>
      <c r="Y167" s="10"/>
      <c r="Z167" s="11"/>
      <c r="AA167" s="12"/>
      <c r="AB167" s="13"/>
      <c r="AD167" s="6"/>
      <c r="AE167" s="7"/>
      <c r="AF167" s="8"/>
      <c r="AG167" s="9">
        <v>2</v>
      </c>
      <c r="AI167" s="10"/>
      <c r="AJ167" s="11"/>
      <c r="AK167" s="12"/>
      <c r="AL167" s="13"/>
      <c r="AN167" s="6"/>
      <c r="AO167" s="7"/>
      <c r="AP167" s="8"/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ref="BC167" si="24">SUM(E167:BA167)</f>
        <v>3</v>
      </c>
      <c r="BD167" s="47">
        <f>(SUM(BE167,'Run distances (Term 2)'!BI167,'Run distances (Term 3)'!BI128,'Run distances (Term 4)'!BI167))</f>
        <v>1.2</v>
      </c>
      <c r="BE167" s="47">
        <f t="shared" si="12"/>
        <v>0.89999999999999991</v>
      </c>
    </row>
    <row r="168" spans="1:57" x14ac:dyDescent="0.25">
      <c r="A168" s="40" t="s">
        <v>385</v>
      </c>
      <c r="B168" s="41">
        <v>10</v>
      </c>
      <c r="C168" s="40" t="s">
        <v>66</v>
      </c>
      <c r="D168" t="s">
        <v>59</v>
      </c>
      <c r="E168" s="10"/>
      <c r="F168" s="11"/>
      <c r="G168" s="12"/>
      <c r="H168" s="13"/>
      <c r="J168" s="6">
        <v>0</v>
      </c>
      <c r="K168" s="7">
        <v>0</v>
      </c>
      <c r="L168" s="8"/>
      <c r="M168" s="9"/>
      <c r="O168" s="10"/>
      <c r="P168" s="11"/>
      <c r="Q168" s="12">
        <v>3</v>
      </c>
      <c r="R168" s="13">
        <v>11</v>
      </c>
      <c r="T168" s="6">
        <v>8</v>
      </c>
      <c r="U168" s="7">
        <v>5</v>
      </c>
      <c r="V168" s="8">
        <v>5</v>
      </c>
      <c r="W168" s="9"/>
      <c r="Y168" s="10"/>
      <c r="Z168" s="11"/>
      <c r="AA168" s="12"/>
      <c r="AB168" s="13"/>
      <c r="AD168" s="6"/>
      <c r="AE168" s="7"/>
      <c r="AF168" s="8"/>
      <c r="AG168" s="9"/>
      <c r="AI168" s="10"/>
      <c r="AJ168" s="11"/>
      <c r="AK168" s="12"/>
      <c r="AL168" s="13"/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>
        <v>2</v>
      </c>
      <c r="BC168" s="46">
        <f t="shared" si="23"/>
        <v>34</v>
      </c>
      <c r="BD168" s="47">
        <f>(SUM(BE168,'Run distances (Term 2)'!BI168,'Run distances (Term 3)'!BI129,'Run distances (Term 4)'!BI168))</f>
        <v>23.7</v>
      </c>
      <c r="BE168" s="47">
        <f t="shared" si="12"/>
        <v>10.199999999999999</v>
      </c>
    </row>
    <row r="169" spans="1:57" x14ac:dyDescent="0.25">
      <c r="A169" s="40" t="s">
        <v>325</v>
      </c>
      <c r="B169" s="41">
        <v>3</v>
      </c>
      <c r="C169" s="40" t="s">
        <v>66</v>
      </c>
      <c r="D169" t="s">
        <v>56</v>
      </c>
      <c r="E169" s="10">
        <v>2</v>
      </c>
      <c r="F169" s="11">
        <v>5</v>
      </c>
      <c r="G169" s="12">
        <v>3</v>
      </c>
      <c r="H169" s="13">
        <v>2</v>
      </c>
      <c r="J169" s="6">
        <v>0</v>
      </c>
      <c r="K169" s="7">
        <v>2</v>
      </c>
      <c r="L169" s="8">
        <v>6</v>
      </c>
      <c r="M169" s="9"/>
      <c r="O169" s="10"/>
      <c r="P169" s="11">
        <v>3</v>
      </c>
      <c r="Q169" s="12">
        <v>2</v>
      </c>
      <c r="R169" s="13"/>
      <c r="T169" s="6"/>
      <c r="U169" s="7"/>
      <c r="V169" s="8"/>
      <c r="W169" s="9"/>
      <c r="Y169" s="10"/>
      <c r="Z169" s="11"/>
      <c r="AA169" s="12"/>
      <c r="AB169" s="13"/>
      <c r="AD169" s="6"/>
      <c r="AE169" s="7"/>
      <c r="AF169" s="8"/>
      <c r="AG169" s="9">
        <v>6</v>
      </c>
      <c r="AI169" s="10">
        <v>6</v>
      </c>
      <c r="AJ169" s="11"/>
      <c r="AK169" s="12"/>
      <c r="AL169" s="13"/>
      <c r="AN169" s="6"/>
      <c r="AO169" s="7">
        <v>3</v>
      </c>
      <c r="AP169" s="8">
        <v>4</v>
      </c>
      <c r="AQ169" s="9"/>
      <c r="AS169" s="10"/>
      <c r="AT169" s="11"/>
      <c r="AU169" s="12"/>
      <c r="AV169" s="13"/>
      <c r="AX169" s="6"/>
      <c r="AY169" s="7"/>
      <c r="AZ169" s="8"/>
      <c r="BA169" s="9"/>
      <c r="BC169" s="46">
        <f t="shared" si="23"/>
        <v>44</v>
      </c>
      <c r="BD169" s="47">
        <f>(SUM(BE169,'Run distances (Term 2)'!BI169,'Run distances (Term 3)'!BI130,'Run distances (Term 4)'!BI169))</f>
        <v>36.899999999999991</v>
      </c>
      <c r="BE169" s="47">
        <f t="shared" si="12"/>
        <v>13.2</v>
      </c>
    </row>
    <row r="170" spans="1:57" x14ac:dyDescent="0.25">
      <c r="A170" s="40" t="s">
        <v>386</v>
      </c>
      <c r="B170" s="41">
        <v>3</v>
      </c>
      <c r="C170" s="40" t="s">
        <v>66</v>
      </c>
      <c r="D170" t="s">
        <v>56</v>
      </c>
      <c r="E170" s="10">
        <v>0</v>
      </c>
      <c r="F170" s="11">
        <v>0</v>
      </c>
      <c r="G170" s="12">
        <v>0</v>
      </c>
      <c r="H170" s="13">
        <v>4</v>
      </c>
      <c r="J170" s="6"/>
      <c r="K170" s="7"/>
      <c r="L170" s="8"/>
      <c r="M170" s="9"/>
      <c r="O170" s="10"/>
      <c r="P170" s="11"/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/>
      <c r="AJ170" s="11"/>
      <c r="AK170" s="12"/>
      <c r="AL170" s="13"/>
      <c r="AN170" s="6"/>
      <c r="AO170" s="7"/>
      <c r="AP170" s="8"/>
      <c r="AQ170" s="9"/>
      <c r="AS170" s="10"/>
      <c r="AT170" s="11"/>
      <c r="AU170" s="12"/>
      <c r="AV170" s="13"/>
      <c r="AX170" s="6"/>
      <c r="AY170" s="7"/>
      <c r="AZ170" s="8"/>
      <c r="BA170" s="9"/>
      <c r="BC170" s="46">
        <f t="shared" si="23"/>
        <v>4</v>
      </c>
      <c r="BD170" s="47">
        <f>(SUM(BE170,'Run distances (Term 2)'!BI170,'Run distances (Term 3)'!BI131,'Run distances (Term 4)'!BI170))</f>
        <v>5.0999999999999996</v>
      </c>
      <c r="BE170" s="47">
        <f t="shared" si="12"/>
        <v>1.2</v>
      </c>
    </row>
    <row r="171" spans="1:57" x14ac:dyDescent="0.25">
      <c r="A171" s="40" t="s">
        <v>323</v>
      </c>
      <c r="B171" s="41">
        <v>3</v>
      </c>
      <c r="C171" s="40" t="s">
        <v>66</v>
      </c>
      <c r="D171" t="s">
        <v>56</v>
      </c>
      <c r="E171" s="10">
        <v>0</v>
      </c>
      <c r="F171" s="11">
        <v>0</v>
      </c>
      <c r="G171" s="12">
        <v>2</v>
      </c>
      <c r="H171" s="13">
        <v>2</v>
      </c>
      <c r="J171" s="6"/>
      <c r="K171" s="7"/>
      <c r="L171" s="8"/>
      <c r="M171" s="9"/>
      <c r="O171" s="10"/>
      <c r="P171" s="11"/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/>
      <c r="AI171" s="10"/>
      <c r="AJ171" s="11">
        <v>3</v>
      </c>
      <c r="AK171" s="12">
        <v>1</v>
      </c>
      <c r="AL171" s="13">
        <v>1</v>
      </c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si="23"/>
        <v>9</v>
      </c>
      <c r="BD171" s="47">
        <f>(SUM(BE171,'Run distances (Term 2)'!BI171,'Run distances (Term 3)'!BI132,'Run distances (Term 4)'!BI171))</f>
        <v>8.6999999999999993</v>
      </c>
      <c r="BE171" s="47">
        <f t="shared" si="12"/>
        <v>2.6999999999999997</v>
      </c>
    </row>
    <row r="172" spans="1:57" x14ac:dyDescent="0.25">
      <c r="A172" s="40" t="s">
        <v>322</v>
      </c>
      <c r="B172" s="41">
        <v>3</v>
      </c>
      <c r="C172" s="40" t="s">
        <v>66</v>
      </c>
      <c r="D172" t="s">
        <v>56</v>
      </c>
      <c r="E172" s="10">
        <v>3</v>
      </c>
      <c r="F172" s="11">
        <v>3</v>
      </c>
      <c r="G172" s="12">
        <v>4</v>
      </c>
      <c r="H172" s="13">
        <v>5</v>
      </c>
      <c r="J172" s="6"/>
      <c r="K172" s="7"/>
      <c r="L172" s="8"/>
      <c r="M172" s="9">
        <v>2</v>
      </c>
      <c r="O172" s="10">
        <v>3</v>
      </c>
      <c r="P172" s="11">
        <v>2</v>
      </c>
      <c r="Q172" s="12"/>
      <c r="R172" s="13"/>
      <c r="T172" s="6"/>
      <c r="U172" s="7"/>
      <c r="V172" s="8"/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>
        <v>1</v>
      </c>
      <c r="AU172" s="12"/>
      <c r="AV172" s="13"/>
      <c r="AX172" s="6"/>
      <c r="AY172" s="7"/>
      <c r="AZ172" s="8"/>
      <c r="BA172" s="9"/>
      <c r="BC172" s="46">
        <f t="shared" si="23"/>
        <v>23</v>
      </c>
      <c r="BD172" s="47">
        <f>(SUM(BE172,'Run distances (Term 2)'!BI172,'Run distances (Term 3)'!BI133,'Run distances (Term 4)'!BI172))</f>
        <v>9.8999999999999986</v>
      </c>
      <c r="BE172" s="47">
        <f t="shared" si="12"/>
        <v>6.8999999999999995</v>
      </c>
    </row>
    <row r="173" spans="1:57" x14ac:dyDescent="0.25">
      <c r="A173" s="40" t="s">
        <v>321</v>
      </c>
      <c r="B173" s="41">
        <v>3</v>
      </c>
      <c r="C173" s="40" t="s">
        <v>66</v>
      </c>
      <c r="D173" t="s">
        <v>56</v>
      </c>
      <c r="E173" s="10">
        <v>3</v>
      </c>
      <c r="F173" s="11">
        <v>0</v>
      </c>
      <c r="G173" s="12">
        <v>0</v>
      </c>
      <c r="H173" s="13">
        <v>0</v>
      </c>
      <c r="J173" s="6"/>
      <c r="K173" s="7"/>
      <c r="L173" s="8"/>
      <c r="M173" s="9">
        <v>2</v>
      </c>
      <c r="O173" s="10">
        <v>3</v>
      </c>
      <c r="P173" s="11">
        <v>5</v>
      </c>
      <c r="Q173" s="12"/>
      <c r="R173" s="13"/>
      <c r="T173" s="6"/>
      <c r="U173" s="7"/>
      <c r="V173" s="8"/>
      <c r="W173" s="9"/>
      <c r="Y173" s="10"/>
      <c r="Z173" s="11"/>
      <c r="AA173" s="12"/>
      <c r="AB173" s="13"/>
      <c r="AD173" s="6"/>
      <c r="AE173" s="7"/>
      <c r="AF173" s="8"/>
      <c r="AG173" s="9"/>
      <c r="AI173" s="10">
        <v>4</v>
      </c>
      <c r="AJ173" s="11">
        <v>3</v>
      </c>
      <c r="AK173" s="12">
        <v>1</v>
      </c>
      <c r="AL173" s="13">
        <v>1</v>
      </c>
      <c r="AN173" s="6"/>
      <c r="AO173" s="7">
        <v>5</v>
      </c>
      <c r="AP173" s="8">
        <v>2</v>
      </c>
      <c r="AQ173" s="9"/>
      <c r="AS173" s="10"/>
      <c r="AT173" s="11">
        <v>1</v>
      </c>
      <c r="AU173" s="12"/>
      <c r="AV173" s="13"/>
      <c r="AX173" s="6"/>
      <c r="AY173" s="7"/>
      <c r="AZ173" s="8"/>
      <c r="BA173" s="9"/>
      <c r="BC173" s="46">
        <f t="shared" ref="BC173:BC180" si="25">SUM(E173:BA173)</f>
        <v>30</v>
      </c>
      <c r="BD173" s="47">
        <f>(SUM(BE173,'Run distances (Term 2)'!BI173,'Run distances (Term 3)'!BI134,'Run distances (Term 4)'!BI173))</f>
        <v>24.6</v>
      </c>
      <c r="BE173" s="47">
        <f t="shared" ref="BE173:BE236" si="26">(SUM(E173:BB173)*$D$2)</f>
        <v>9</v>
      </c>
    </row>
    <row r="174" spans="1:57" x14ac:dyDescent="0.25">
      <c r="A174" s="40" t="s">
        <v>387</v>
      </c>
      <c r="B174" s="41">
        <v>3</v>
      </c>
      <c r="C174" s="40" t="s">
        <v>66</v>
      </c>
      <c r="D174" t="s">
        <v>56</v>
      </c>
      <c r="E174" s="10"/>
      <c r="F174" s="11">
        <v>0</v>
      </c>
      <c r="G174" s="12">
        <v>0</v>
      </c>
      <c r="H174" s="13">
        <v>0</v>
      </c>
      <c r="J174" s="6"/>
      <c r="K174" s="7"/>
      <c r="L174" s="8"/>
      <c r="M174" s="9"/>
      <c r="O174" s="10"/>
      <c r="P174" s="11">
        <v>4</v>
      </c>
      <c r="Q174" s="12"/>
      <c r="R174" s="13"/>
      <c r="T174" s="6"/>
      <c r="U174" s="7"/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/>
      <c r="AS174" s="10"/>
      <c r="AT174" s="11"/>
      <c r="AU174" s="12"/>
      <c r="AV174" s="13"/>
      <c r="AX174" s="6"/>
      <c r="AY174" s="7"/>
      <c r="AZ174" s="8"/>
      <c r="BA174" s="9"/>
      <c r="BC174" s="46">
        <f t="shared" si="25"/>
        <v>4</v>
      </c>
      <c r="BD174" s="47">
        <f>(SUM(BE174,'Run distances (Term 2)'!BI174,'Run distances (Term 3)'!BI134,'Run distances (Term 4)'!BI174))</f>
        <v>1.2</v>
      </c>
      <c r="BE174" s="47">
        <f t="shared" ref="BE174:BE181" si="27">(SUM(E174:BB174)*$D$2)</f>
        <v>1.2</v>
      </c>
    </row>
    <row r="175" spans="1:57" x14ac:dyDescent="0.25">
      <c r="A175" s="40" t="s">
        <v>422</v>
      </c>
      <c r="B175" s="41">
        <v>3</v>
      </c>
      <c r="C175" s="40" t="s">
        <v>66</v>
      </c>
      <c r="D175" t="s">
        <v>56</v>
      </c>
      <c r="E175" s="10"/>
      <c r="F175" s="11"/>
      <c r="G175" s="12"/>
      <c r="H175" s="13"/>
      <c r="J175" s="6"/>
      <c r="K175" s="7"/>
      <c r="L175" s="8"/>
      <c r="M175" s="9"/>
      <c r="O175" s="10"/>
      <c r="P175" s="11"/>
      <c r="Q175" s="12"/>
      <c r="R175" s="13"/>
      <c r="T175" s="6"/>
      <c r="U175" s="7"/>
      <c r="V175" s="8"/>
      <c r="W175" s="9"/>
      <c r="Y175" s="10"/>
      <c r="Z175" s="11"/>
      <c r="AA175" s="12"/>
      <c r="AB175" s="13"/>
      <c r="AD175" s="6"/>
      <c r="AE175" s="7"/>
      <c r="AF175" s="8"/>
      <c r="AG175" s="9"/>
      <c r="AI175" s="10"/>
      <c r="AJ175" s="11"/>
      <c r="AK175" s="12"/>
      <c r="AL175" s="13"/>
      <c r="AN175" s="6"/>
      <c r="AO175" s="7"/>
      <c r="AP175" s="8"/>
      <c r="AQ175" s="9"/>
      <c r="AS175" s="10"/>
      <c r="AT175" s="11"/>
      <c r="AU175" s="12"/>
      <c r="AV175" s="13"/>
      <c r="AX175" s="6"/>
      <c r="AY175" s="7"/>
      <c r="AZ175" s="8"/>
      <c r="BA175" s="9"/>
      <c r="BC175" s="46">
        <f t="shared" si="25"/>
        <v>0</v>
      </c>
      <c r="BD175" s="47">
        <f>(SUM(BE175,'Run distances (Term 2)'!BI175,'Run distances (Term 3)'!BI135,'Run distances (Term 4)'!BI175))</f>
        <v>11.7</v>
      </c>
      <c r="BE175" s="47">
        <f t="shared" si="27"/>
        <v>0</v>
      </c>
    </row>
    <row r="176" spans="1:57" x14ac:dyDescent="0.25">
      <c r="A176" s="40" t="s">
        <v>319</v>
      </c>
      <c r="B176" s="41">
        <v>4</v>
      </c>
      <c r="C176" s="40" t="s">
        <v>66</v>
      </c>
      <c r="D176" t="s">
        <v>58</v>
      </c>
      <c r="E176" s="10">
        <v>0</v>
      </c>
      <c r="F176" s="11">
        <v>0</v>
      </c>
      <c r="G176" s="12">
        <v>1</v>
      </c>
      <c r="H176" s="13">
        <v>2</v>
      </c>
      <c r="J176" s="6">
        <v>0</v>
      </c>
      <c r="K176" s="7">
        <v>1</v>
      </c>
      <c r="L176" s="8"/>
      <c r="M176" s="9"/>
      <c r="O176" s="10"/>
      <c r="P176" s="11"/>
      <c r="Q176" s="12"/>
      <c r="R176" s="13"/>
      <c r="T176" s="6">
        <v>3</v>
      </c>
      <c r="U176" s="7">
        <v>3</v>
      </c>
      <c r="V176" s="8">
        <v>2</v>
      </c>
      <c r="W176" s="9">
        <v>2</v>
      </c>
      <c r="Y176" s="10"/>
      <c r="Z176" s="11"/>
      <c r="AA176" s="12"/>
      <c r="AB176" s="13"/>
      <c r="AD176" s="6"/>
      <c r="AE176" s="7"/>
      <c r="AF176" s="8"/>
      <c r="AG176" s="9"/>
      <c r="AI176" s="10"/>
      <c r="AJ176" s="11"/>
      <c r="AK176" s="12"/>
      <c r="AL176" s="13"/>
      <c r="AN176" s="6"/>
      <c r="AO176" s="7"/>
      <c r="AP176" s="8"/>
      <c r="AQ176" s="9">
        <v>4</v>
      </c>
      <c r="AS176" s="10"/>
      <c r="AT176" s="11"/>
      <c r="AU176" s="12"/>
      <c r="AV176" s="13"/>
      <c r="AX176" s="6"/>
      <c r="AY176" s="7"/>
      <c r="AZ176" s="8"/>
      <c r="BA176" s="9"/>
      <c r="BC176" s="46">
        <f t="shared" si="25"/>
        <v>18</v>
      </c>
      <c r="BD176" s="47">
        <f>(SUM(BE176,'Run distances (Term 2)'!BI176,'Run distances (Term 3)'!BI136,'Run distances (Term 4)'!BI176))</f>
        <v>23.4</v>
      </c>
      <c r="BE176" s="47">
        <f t="shared" si="27"/>
        <v>5.3999999999999995</v>
      </c>
    </row>
    <row r="177" spans="1:57" x14ac:dyDescent="0.25">
      <c r="A177" s="40" t="s">
        <v>318</v>
      </c>
      <c r="B177" s="41">
        <v>4</v>
      </c>
      <c r="C177" s="40" t="s">
        <v>66</v>
      </c>
      <c r="D177" t="s">
        <v>58</v>
      </c>
      <c r="E177" s="10">
        <v>0</v>
      </c>
      <c r="F177" s="11">
        <v>0</v>
      </c>
      <c r="G177" s="12">
        <v>1</v>
      </c>
      <c r="H177" s="13">
        <v>2</v>
      </c>
      <c r="J177" s="6">
        <v>0</v>
      </c>
      <c r="K177" s="7">
        <v>1</v>
      </c>
      <c r="L177" s="8"/>
      <c r="M177" s="9"/>
      <c r="O177" s="10"/>
      <c r="P177" s="11"/>
      <c r="Q177" s="12"/>
      <c r="R177" s="13">
        <v>2</v>
      </c>
      <c r="T177" s="6">
        <v>3</v>
      </c>
      <c r="U177" s="7">
        <v>3</v>
      </c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/>
      <c r="AJ177" s="11"/>
      <c r="AK177" s="12"/>
      <c r="AL177" s="13"/>
      <c r="AN177" s="6"/>
      <c r="AO177" s="7"/>
      <c r="AP177" s="8"/>
      <c r="AQ177" s="9">
        <v>2</v>
      </c>
      <c r="AS177" s="10"/>
      <c r="AT177" s="11"/>
      <c r="AU177" s="12"/>
      <c r="AV177" s="13"/>
      <c r="AX177" s="6"/>
      <c r="AY177" s="7"/>
      <c r="AZ177" s="8"/>
      <c r="BA177" s="9"/>
      <c r="BC177" s="46">
        <f t="shared" si="25"/>
        <v>14</v>
      </c>
      <c r="BD177" s="47">
        <f>(SUM(BE177,'Run distances (Term 2)'!BI177,'Run distances (Term 3)'!BI137,'Run distances (Term 4)'!BI177))</f>
        <v>17.399999999999999</v>
      </c>
      <c r="BE177" s="47">
        <f t="shared" si="27"/>
        <v>4.2</v>
      </c>
    </row>
    <row r="178" spans="1:57" x14ac:dyDescent="0.25">
      <c r="A178" s="40" t="s">
        <v>317</v>
      </c>
      <c r="B178" s="41">
        <v>5</v>
      </c>
      <c r="C178" s="40" t="s">
        <v>66</v>
      </c>
      <c r="D178" t="s">
        <v>58</v>
      </c>
      <c r="E178" s="10">
        <v>0</v>
      </c>
      <c r="F178" s="11">
        <v>0</v>
      </c>
      <c r="G178" s="12">
        <v>0</v>
      </c>
      <c r="H178" s="13">
        <v>4</v>
      </c>
      <c r="J178" s="6">
        <v>4</v>
      </c>
      <c r="K178" s="7">
        <v>0</v>
      </c>
      <c r="L178" s="8"/>
      <c r="M178" s="9"/>
      <c r="O178" s="10">
        <v>2</v>
      </c>
      <c r="P178" s="11"/>
      <c r="Q178" s="12"/>
      <c r="R178" s="13"/>
      <c r="T178" s="6"/>
      <c r="U178" s="7"/>
      <c r="V178" s="8"/>
      <c r="W178" s="9">
        <v>2</v>
      </c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>
        <v>2</v>
      </c>
      <c r="AS178" s="10"/>
      <c r="AT178" s="11">
        <v>2</v>
      </c>
      <c r="AU178" s="12"/>
      <c r="AV178" s="13"/>
      <c r="AX178" s="6"/>
      <c r="AY178" s="7"/>
      <c r="AZ178" s="8"/>
      <c r="BA178" s="9">
        <v>1</v>
      </c>
      <c r="BC178" s="46">
        <f t="shared" si="25"/>
        <v>17</v>
      </c>
      <c r="BD178" s="47">
        <f>(SUM(BE178,'Run distances (Term 2)'!BI178,'Run distances (Term 3)'!BI138,'Run distances (Term 4)'!BI178))</f>
        <v>5.6999999999999993</v>
      </c>
      <c r="BE178" s="47">
        <f t="shared" si="27"/>
        <v>5.0999999999999996</v>
      </c>
    </row>
    <row r="179" spans="1:57" x14ac:dyDescent="0.25">
      <c r="A179" s="40" t="s">
        <v>316</v>
      </c>
      <c r="B179" s="41">
        <v>5</v>
      </c>
      <c r="C179" s="40" t="s">
        <v>66</v>
      </c>
      <c r="D179" t="s">
        <v>58</v>
      </c>
      <c r="E179" s="10">
        <v>0</v>
      </c>
      <c r="F179" s="11">
        <v>0</v>
      </c>
      <c r="G179" s="12">
        <v>1</v>
      </c>
      <c r="H179" s="13">
        <v>4</v>
      </c>
      <c r="J179" s="6"/>
      <c r="K179" s="7"/>
      <c r="L179" s="8"/>
      <c r="M179" s="9"/>
      <c r="O179" s="10"/>
      <c r="P179" s="11"/>
      <c r="Q179" s="12"/>
      <c r="R179" s="13"/>
      <c r="T179" s="6">
        <v>3</v>
      </c>
      <c r="U179" s="7">
        <v>3</v>
      </c>
      <c r="V179" s="8"/>
      <c r="W179" s="9"/>
      <c r="Y179" s="10"/>
      <c r="Z179" s="11"/>
      <c r="AA179" s="12"/>
      <c r="AB179" s="13"/>
      <c r="AD179" s="6"/>
      <c r="AE179" s="7"/>
      <c r="AF179" s="8"/>
      <c r="AG179" s="9"/>
      <c r="AI179" s="10"/>
      <c r="AJ179" s="11">
        <v>5</v>
      </c>
      <c r="AK179" s="12"/>
      <c r="AL179" s="13"/>
      <c r="AN179" s="6"/>
      <c r="AO179" s="7"/>
      <c r="AP179" s="8">
        <v>1</v>
      </c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5"/>
        <v>17</v>
      </c>
      <c r="BD179" s="47">
        <f>(SUM(BE179,'Run distances (Term 2)'!BI179,'Run distances (Term 3)'!BI139,'Run distances (Term 4)'!BI179))</f>
        <v>15.3</v>
      </c>
      <c r="BE179" s="47">
        <f t="shared" si="27"/>
        <v>5.0999999999999996</v>
      </c>
    </row>
    <row r="180" spans="1:57" x14ac:dyDescent="0.25">
      <c r="A180" s="40" t="s">
        <v>424</v>
      </c>
      <c r="B180" s="41">
        <v>5</v>
      </c>
      <c r="C180" s="40" t="s">
        <v>66</v>
      </c>
      <c r="E180" s="10"/>
      <c r="F180" s="11"/>
      <c r="G180" s="12"/>
      <c r="H180" s="13"/>
      <c r="J180" s="6"/>
      <c r="K180" s="7"/>
      <c r="L180" s="8"/>
      <c r="M180" s="9"/>
      <c r="O180" s="10"/>
      <c r="P180" s="11"/>
      <c r="Q180" s="12"/>
      <c r="R180" s="13"/>
      <c r="T180" s="6"/>
      <c r="U180" s="7"/>
      <c r="V180" s="8"/>
      <c r="W180" s="9"/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/>
      <c r="AS180" s="10"/>
      <c r="AT180" s="11"/>
      <c r="AU180" s="12"/>
      <c r="AV180" s="13"/>
      <c r="AX180" s="6"/>
      <c r="AY180" s="7"/>
      <c r="AZ180" s="8"/>
      <c r="BA180" s="9"/>
      <c r="BC180" s="46">
        <f t="shared" si="25"/>
        <v>0</v>
      </c>
      <c r="BD180" s="47">
        <f>(SUM(BE180,'Run distances (Term 2)'!BI180,'Run distances (Term 3)'!BI140,'Run distances (Term 4)'!BI180))</f>
        <v>2.4</v>
      </c>
      <c r="BE180" s="47">
        <f t="shared" si="27"/>
        <v>0</v>
      </c>
    </row>
    <row r="181" spans="1:57" x14ac:dyDescent="0.25">
      <c r="A181" s="40" t="s">
        <v>315</v>
      </c>
      <c r="B181" s="41">
        <v>4</v>
      </c>
      <c r="C181" s="40" t="s">
        <v>66</v>
      </c>
      <c r="D181" t="s">
        <v>55</v>
      </c>
      <c r="E181" s="10">
        <v>0</v>
      </c>
      <c r="F181" s="11">
        <v>3</v>
      </c>
      <c r="G181" s="12">
        <v>0</v>
      </c>
      <c r="H181" s="13">
        <v>0</v>
      </c>
      <c r="J181" s="6"/>
      <c r="K181" s="7"/>
      <c r="L181" s="8"/>
      <c r="M181" s="9"/>
      <c r="O181" s="10"/>
      <c r="P181" s="11"/>
      <c r="Q181" s="12"/>
      <c r="R181" s="13"/>
      <c r="T181" s="6"/>
      <c r="U181" s="7"/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/>
      <c r="AS181" s="10"/>
      <c r="AT181" s="11"/>
      <c r="AU181" s="12"/>
      <c r="AV181" s="13"/>
      <c r="AX181" s="6"/>
      <c r="AY181" s="7"/>
      <c r="AZ181" s="8"/>
      <c r="BA181" s="9"/>
      <c r="BC181" s="46">
        <f t="shared" si="23"/>
        <v>3</v>
      </c>
      <c r="BD181" s="47">
        <f>(SUM(BE181,'Run distances (Term 2)'!BI181,'Run distances (Term 3)'!BI140,'Run distances (Term 4)'!BI181))</f>
        <v>7.5</v>
      </c>
      <c r="BE181" s="47">
        <f t="shared" si="27"/>
        <v>0.89999999999999991</v>
      </c>
    </row>
    <row r="182" spans="1:57" x14ac:dyDescent="0.25">
      <c r="A182" s="40" t="s">
        <v>314</v>
      </c>
      <c r="B182" s="41">
        <v>4</v>
      </c>
      <c r="C182" s="40" t="s">
        <v>66</v>
      </c>
      <c r="D182" t="s">
        <v>55</v>
      </c>
      <c r="E182" s="10">
        <v>5</v>
      </c>
      <c r="F182" s="11">
        <v>5</v>
      </c>
      <c r="G182" s="12">
        <v>1</v>
      </c>
      <c r="H182" s="13">
        <v>4</v>
      </c>
      <c r="J182" s="6">
        <v>0</v>
      </c>
      <c r="K182" s="7">
        <v>4</v>
      </c>
      <c r="L182" s="8"/>
      <c r="M182" s="9">
        <v>5</v>
      </c>
      <c r="O182" s="10"/>
      <c r="P182" s="11"/>
      <c r="Q182" s="12"/>
      <c r="R182" s="13"/>
      <c r="T182" s="6"/>
      <c r="U182" s="7"/>
      <c r="V182" s="8"/>
      <c r="W182" s="9"/>
      <c r="Y182" s="10"/>
      <c r="Z182" s="11"/>
      <c r="AA182" s="12"/>
      <c r="AB182" s="13"/>
      <c r="AD182" s="6"/>
      <c r="AE182" s="7"/>
      <c r="AF182" s="8">
        <v>6</v>
      </c>
      <c r="AG182" s="9"/>
      <c r="AI182" s="10"/>
      <c r="AJ182" s="11"/>
      <c r="AK182" s="12"/>
      <c r="AL182" s="13"/>
      <c r="AN182" s="6"/>
      <c r="AO182" s="7"/>
      <c r="AP182" s="8"/>
      <c r="AQ182" s="9"/>
      <c r="AS182" s="10"/>
      <c r="AT182" s="11"/>
      <c r="AU182" s="12"/>
      <c r="AV182" s="13"/>
      <c r="AX182" s="6"/>
      <c r="AY182" s="7"/>
      <c r="AZ182" s="8"/>
      <c r="BA182" s="9"/>
      <c r="BC182" s="46">
        <f t="shared" si="23"/>
        <v>30</v>
      </c>
      <c r="BD182" s="47">
        <f>(SUM(BE182,'Run distances (Term 2)'!BI182,'Run distances (Term 3)'!BI141,'Run distances (Term 4)'!BI182))</f>
        <v>17.100000000000001</v>
      </c>
      <c r="BE182" s="47">
        <f t="shared" si="26"/>
        <v>9</v>
      </c>
    </row>
    <row r="183" spans="1:57" x14ac:dyDescent="0.25">
      <c r="A183" s="40" t="s">
        <v>313</v>
      </c>
      <c r="B183" s="41">
        <v>4</v>
      </c>
      <c r="C183" s="40" t="s">
        <v>66</v>
      </c>
      <c r="D183" t="s">
        <v>55</v>
      </c>
      <c r="E183" s="10">
        <v>0</v>
      </c>
      <c r="F183" s="11">
        <v>2</v>
      </c>
      <c r="G183" s="12">
        <v>1</v>
      </c>
      <c r="H183" s="13">
        <v>0</v>
      </c>
      <c r="J183" s="6">
        <v>2</v>
      </c>
      <c r="K183" s="7">
        <v>0</v>
      </c>
      <c r="L183" s="8"/>
      <c r="M183" s="9"/>
      <c r="O183" s="10"/>
      <c r="P183" s="11"/>
      <c r="Q183" s="12"/>
      <c r="R183" s="13"/>
      <c r="T183" s="6"/>
      <c r="U183" s="7"/>
      <c r="V183" s="8"/>
      <c r="W183" s="9"/>
      <c r="Y183" s="10"/>
      <c r="Z183" s="11"/>
      <c r="AA183" s="12"/>
      <c r="AB183" s="13"/>
      <c r="AD183" s="6"/>
      <c r="AE183" s="7"/>
      <c r="AF183" s="8"/>
      <c r="AG183" s="9"/>
      <c r="AI183" s="10"/>
      <c r="AJ183" s="11"/>
      <c r="AK183" s="12"/>
      <c r="AL183" s="13"/>
      <c r="AN183" s="6"/>
      <c r="AO183" s="7"/>
      <c r="AP183" s="8"/>
      <c r="AQ183" s="9"/>
      <c r="AS183" s="10"/>
      <c r="AT183" s="11"/>
      <c r="AU183" s="12"/>
      <c r="AV183" s="13"/>
      <c r="AX183" s="6"/>
      <c r="AY183" s="7"/>
      <c r="AZ183" s="8"/>
      <c r="BA183" s="9"/>
      <c r="BC183" s="46">
        <f t="shared" si="23"/>
        <v>5</v>
      </c>
      <c r="BD183" s="47">
        <f>(SUM(BE183,'Run distances (Term 2)'!BI183,'Run distances (Term 3)'!BI142,'Run distances (Term 4)'!BI183))</f>
        <v>15.299999999999999</v>
      </c>
      <c r="BE183" s="47">
        <f t="shared" si="26"/>
        <v>1.5</v>
      </c>
    </row>
    <row r="184" spans="1:57" x14ac:dyDescent="0.25">
      <c r="A184" s="40" t="s">
        <v>388</v>
      </c>
      <c r="B184" s="41">
        <v>4</v>
      </c>
      <c r="C184" s="40" t="s">
        <v>66</v>
      </c>
      <c r="D184" t="s">
        <v>55</v>
      </c>
      <c r="E184" s="10">
        <v>0</v>
      </c>
      <c r="F184" s="11">
        <v>0</v>
      </c>
      <c r="G184" s="12">
        <v>0</v>
      </c>
      <c r="H184" s="13">
        <v>2</v>
      </c>
      <c r="J184" s="6"/>
      <c r="K184" s="7"/>
      <c r="L184" s="8"/>
      <c r="M184" s="9"/>
      <c r="O184" s="10"/>
      <c r="P184" s="11"/>
      <c r="Q184" s="12"/>
      <c r="R184" s="13"/>
      <c r="T184" s="6">
        <v>1</v>
      </c>
      <c r="U184" s="7"/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si="23"/>
        <v>3</v>
      </c>
      <c r="BD184" s="47">
        <f>(SUM(BE184,'Run distances (Term 2)'!BI184,'Run distances (Term 3)'!BI143,'Run distances (Term 4)'!BI184))</f>
        <v>9.6</v>
      </c>
      <c r="BE184" s="47">
        <f t="shared" si="26"/>
        <v>0.89999999999999991</v>
      </c>
    </row>
    <row r="185" spans="1:57" x14ac:dyDescent="0.25">
      <c r="A185" s="40" t="s">
        <v>311</v>
      </c>
      <c r="B185" s="41">
        <v>4</v>
      </c>
      <c r="C185" s="40" t="s">
        <v>66</v>
      </c>
      <c r="D185" t="s">
        <v>55</v>
      </c>
      <c r="E185" s="10">
        <v>0</v>
      </c>
      <c r="F185" s="11">
        <v>4</v>
      </c>
      <c r="G185" s="12">
        <v>0</v>
      </c>
      <c r="H185" s="13">
        <v>0</v>
      </c>
      <c r="J185" s="6"/>
      <c r="K185" s="7"/>
      <c r="L185" s="8"/>
      <c r="M185" s="9"/>
      <c r="O185" s="10"/>
      <c r="P185" s="11"/>
      <c r="Q185" s="12"/>
      <c r="R185" s="13"/>
      <c r="T185" s="6"/>
      <c r="U185" s="7">
        <v>2</v>
      </c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/>
      <c r="AP185" s="8"/>
      <c r="AQ185" s="9"/>
      <c r="AS185" s="10"/>
      <c r="AT185" s="11"/>
      <c r="AU185" s="12"/>
      <c r="AV185" s="13"/>
      <c r="AX185" s="6"/>
      <c r="AY185" s="7"/>
      <c r="AZ185" s="8"/>
      <c r="BA185" s="9"/>
      <c r="BC185" s="46">
        <f t="shared" si="23"/>
        <v>6</v>
      </c>
      <c r="BD185" s="47">
        <f>(SUM(BE185,'Run distances (Term 2)'!BI185,'Run distances (Term 3)'!BI144,'Run distances (Term 4)'!BI185))</f>
        <v>11.7</v>
      </c>
      <c r="BE185" s="47">
        <f t="shared" si="26"/>
        <v>1.7999999999999998</v>
      </c>
    </row>
    <row r="186" spans="1:57" x14ac:dyDescent="0.25">
      <c r="A186" s="40" t="s">
        <v>310</v>
      </c>
      <c r="B186" s="41">
        <v>4</v>
      </c>
      <c r="C186" s="40" t="s">
        <v>66</v>
      </c>
      <c r="D186" t="s">
        <v>55</v>
      </c>
      <c r="E186" s="10">
        <v>2</v>
      </c>
      <c r="F186" s="11">
        <v>5</v>
      </c>
      <c r="G186" s="12">
        <v>6</v>
      </c>
      <c r="H186" s="13">
        <v>7</v>
      </c>
      <c r="J186" s="6">
        <v>4</v>
      </c>
      <c r="K186" s="7">
        <v>4</v>
      </c>
      <c r="L186" s="8">
        <v>0</v>
      </c>
      <c r="M186" s="9">
        <v>4</v>
      </c>
      <c r="O186" s="10">
        <v>4</v>
      </c>
      <c r="P186" s="11"/>
      <c r="Q186" s="12">
        <v>2</v>
      </c>
      <c r="R186" s="13"/>
      <c r="T186" s="6"/>
      <c r="U186" s="7"/>
      <c r="V186" s="8"/>
      <c r="W186" s="9">
        <v>2</v>
      </c>
      <c r="Y186" s="10"/>
      <c r="Z186" s="11"/>
      <c r="AA186" s="12"/>
      <c r="AB186" s="13"/>
      <c r="AD186" s="6"/>
      <c r="AE186" s="7"/>
      <c r="AF186" s="8">
        <v>2</v>
      </c>
      <c r="AG186" s="9"/>
      <c r="AI186" s="10"/>
      <c r="AJ186" s="11">
        <v>1</v>
      </c>
      <c r="AK186" s="12"/>
      <c r="AL186" s="13"/>
      <c r="AN186" s="6"/>
      <c r="AO186" s="7"/>
      <c r="AP186" s="8">
        <v>4</v>
      </c>
      <c r="AQ186" s="9">
        <v>2</v>
      </c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49</v>
      </c>
      <c r="BD186" s="47">
        <f>(SUM(BE186,'Run distances (Term 2)'!BI186,'Run distances (Term 3)'!BI145,'Run distances (Term 4)'!BI186))</f>
        <v>18.899999999999999</v>
      </c>
      <c r="BE186" s="47">
        <f t="shared" si="26"/>
        <v>14.7</v>
      </c>
    </row>
    <row r="187" spans="1:57" x14ac:dyDescent="0.25">
      <c r="A187" s="40" t="s">
        <v>309</v>
      </c>
      <c r="B187" s="41">
        <v>4</v>
      </c>
      <c r="C187" s="40" t="s">
        <v>66</v>
      </c>
      <c r="D187" t="s">
        <v>55</v>
      </c>
      <c r="E187" s="10">
        <v>0</v>
      </c>
      <c r="F187" s="11">
        <v>0</v>
      </c>
      <c r="G187" s="12">
        <v>0</v>
      </c>
      <c r="H187" s="13">
        <v>2</v>
      </c>
      <c r="J187" s="6"/>
      <c r="K187" s="7"/>
      <c r="L187" s="8"/>
      <c r="M187" s="9"/>
      <c r="O187" s="10"/>
      <c r="P187" s="11">
        <v>1</v>
      </c>
      <c r="Q187" s="12"/>
      <c r="R187" s="13"/>
      <c r="T187" s="6"/>
      <c r="U187" s="7">
        <v>1</v>
      </c>
      <c r="V187" s="8"/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/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ref="BC187" si="28">SUM(E187:BA187)</f>
        <v>4</v>
      </c>
      <c r="BD187" s="47">
        <f>(SUM(BE187,'Run distances (Term 2)'!BI187,'Run distances (Term 3)'!BI146,'Run distances (Term 4)'!BI187))</f>
        <v>3</v>
      </c>
      <c r="BE187" s="47">
        <f t="shared" si="26"/>
        <v>1.2</v>
      </c>
    </row>
    <row r="188" spans="1:57" x14ac:dyDescent="0.25">
      <c r="A188" s="40" t="s">
        <v>389</v>
      </c>
      <c r="B188" s="41">
        <v>4</v>
      </c>
      <c r="C188" s="40" t="s">
        <v>66</v>
      </c>
      <c r="D188" t="s">
        <v>55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>
        <v>2</v>
      </c>
      <c r="Q188" s="12">
        <v>5</v>
      </c>
      <c r="R188" s="13">
        <v>2</v>
      </c>
      <c r="T188" s="6"/>
      <c r="U188" s="7"/>
      <c r="V188" s="8"/>
      <c r="W188" s="9"/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>
        <v>2</v>
      </c>
      <c r="AP188" s="8"/>
      <c r="AQ188" s="9"/>
      <c r="AS188" s="10"/>
      <c r="AT188" s="11"/>
      <c r="AU188" s="12"/>
      <c r="AV188" s="13"/>
      <c r="AX188" s="6">
        <v>3</v>
      </c>
      <c r="AY188" s="7"/>
      <c r="AZ188" s="8">
        <v>3</v>
      </c>
      <c r="BA188" s="9"/>
      <c r="BC188" s="46">
        <f t="shared" si="23"/>
        <v>19</v>
      </c>
      <c r="BD188" s="47">
        <f>(SUM(BE188,'Run distances (Term 2)'!BI188,'Run distances (Term 3)'!BI147,'Run distances (Term 4)'!BI188))</f>
        <v>7.5</v>
      </c>
      <c r="BE188" s="47">
        <f t="shared" si="26"/>
        <v>5.7</v>
      </c>
    </row>
    <row r="189" spans="1:57" x14ac:dyDescent="0.25">
      <c r="A189" s="40" t="s">
        <v>307</v>
      </c>
      <c r="B189" s="41">
        <v>6</v>
      </c>
      <c r="C189" s="40" t="s">
        <v>66</v>
      </c>
      <c r="D189" t="s">
        <v>50</v>
      </c>
      <c r="E189" s="10">
        <v>0</v>
      </c>
      <c r="F189" s="11">
        <v>0</v>
      </c>
      <c r="G189" s="12">
        <v>0</v>
      </c>
      <c r="H189" s="13">
        <v>2</v>
      </c>
      <c r="J189" s="6">
        <v>1</v>
      </c>
      <c r="K189" s="7">
        <v>3</v>
      </c>
      <c r="L189" s="8"/>
      <c r="M189" s="9"/>
      <c r="O189" s="10"/>
      <c r="P189" s="11"/>
      <c r="Q189" s="12">
        <v>2</v>
      </c>
      <c r="R189" s="13"/>
      <c r="T189" s="6"/>
      <c r="U189" s="7"/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8</v>
      </c>
      <c r="BD189" s="47">
        <f>(SUM(BE189,'Run distances (Term 2)'!BI189,'Run distances (Term 3)'!BI148,'Run distances (Term 4)'!BI189))</f>
        <v>8.6999999999999993</v>
      </c>
      <c r="BE189" s="47">
        <f t="shared" si="26"/>
        <v>2.4</v>
      </c>
    </row>
    <row r="190" spans="1:57" x14ac:dyDescent="0.25">
      <c r="A190" s="40" t="s">
        <v>306</v>
      </c>
      <c r="B190" s="41">
        <v>6</v>
      </c>
      <c r="C190" s="40" t="s">
        <v>66</v>
      </c>
      <c r="D190" t="s">
        <v>50</v>
      </c>
      <c r="E190" s="10"/>
      <c r="F190" s="11"/>
      <c r="G190" s="12"/>
      <c r="H190" s="13"/>
      <c r="J190" s="6"/>
      <c r="K190" s="7"/>
      <c r="L190" s="8">
        <v>2</v>
      </c>
      <c r="M190" s="9">
        <v>6</v>
      </c>
      <c r="O190" s="10">
        <v>5</v>
      </c>
      <c r="P190" s="11">
        <v>3</v>
      </c>
      <c r="Q190" s="12">
        <v>5</v>
      </c>
      <c r="R190" s="13"/>
      <c r="T190" s="6">
        <v>3</v>
      </c>
      <c r="U190" s="7"/>
      <c r="V190" s="8">
        <v>5</v>
      </c>
      <c r="W190" s="9"/>
      <c r="Y190" s="10"/>
      <c r="Z190" s="11"/>
      <c r="AA190" s="12"/>
      <c r="AB190" s="13"/>
      <c r="AD190" s="6"/>
      <c r="AE190" s="7"/>
      <c r="AF190" s="8"/>
      <c r="AG190" s="9"/>
      <c r="AI190" s="10"/>
      <c r="AJ190" s="11">
        <v>2</v>
      </c>
      <c r="AK190" s="12"/>
      <c r="AL190" s="13"/>
      <c r="AN190" s="6"/>
      <c r="AO190" s="7"/>
      <c r="AP190" s="8"/>
      <c r="AQ190" s="9"/>
      <c r="AS190" s="10"/>
      <c r="AT190" s="11"/>
      <c r="AU190" s="12"/>
      <c r="AV190" s="13"/>
      <c r="AX190" s="6"/>
      <c r="AY190" s="7"/>
      <c r="AZ190" s="8"/>
      <c r="BA190" s="9"/>
      <c r="BC190" s="46">
        <f t="shared" si="23"/>
        <v>31</v>
      </c>
      <c r="BD190" s="47">
        <f>(SUM(BE190,'Run distances (Term 2)'!BI190,'Run distances (Term 3)'!BI149,'Run distances (Term 4)'!BI190))</f>
        <v>21.9</v>
      </c>
      <c r="BE190" s="47">
        <f t="shared" si="26"/>
        <v>9.2999999999999989</v>
      </c>
    </row>
    <row r="191" spans="1:57" x14ac:dyDescent="0.25">
      <c r="A191" s="40" t="s">
        <v>305</v>
      </c>
      <c r="B191" s="41">
        <v>6</v>
      </c>
      <c r="C191" s="40" t="s">
        <v>66</v>
      </c>
      <c r="D191" t="s">
        <v>51</v>
      </c>
      <c r="E191" s="10">
        <v>0</v>
      </c>
      <c r="F191" s="11">
        <v>0</v>
      </c>
      <c r="G191" s="12">
        <v>0</v>
      </c>
      <c r="H191" s="13">
        <v>2</v>
      </c>
      <c r="J191" s="6"/>
      <c r="K191" s="7"/>
      <c r="L191" s="8"/>
      <c r="M191" s="9"/>
      <c r="O191" s="10"/>
      <c r="P191" s="11"/>
      <c r="Q191" s="12"/>
      <c r="R191" s="13"/>
      <c r="T191" s="6"/>
      <c r="U191" s="7"/>
      <c r="V191" s="8"/>
      <c r="W191" s="9">
        <v>2</v>
      </c>
      <c r="Y191" s="10"/>
      <c r="Z191" s="11"/>
      <c r="AA191" s="12"/>
      <c r="AB191" s="13"/>
      <c r="AD191" s="6"/>
      <c r="AE191" s="7"/>
      <c r="AF191" s="8"/>
      <c r="AG191" s="9"/>
      <c r="AI191" s="10"/>
      <c r="AJ191" s="11"/>
      <c r="AK191" s="12"/>
      <c r="AL191" s="13"/>
      <c r="AN191" s="6"/>
      <c r="AO191" s="7"/>
      <c r="AP191" s="8"/>
      <c r="AQ191" s="9"/>
      <c r="AS191" s="10"/>
      <c r="AT191" s="11"/>
      <c r="AU191" s="12"/>
      <c r="AV191" s="13"/>
      <c r="AX191" s="6"/>
      <c r="AY191" s="7"/>
      <c r="AZ191" s="8"/>
      <c r="BA191" s="9"/>
      <c r="BC191" s="46">
        <f t="shared" si="23"/>
        <v>4</v>
      </c>
      <c r="BD191" s="47">
        <f>(SUM(BE191,'Run distances (Term 2)'!BI191,'Run distances (Term 3)'!BI150,'Run distances (Term 4)'!BI191))</f>
        <v>6.3</v>
      </c>
      <c r="BE191" s="47">
        <f t="shared" si="26"/>
        <v>1.2</v>
      </c>
    </row>
    <row r="192" spans="1:57" x14ac:dyDescent="0.25">
      <c r="A192" s="40" t="s">
        <v>304</v>
      </c>
      <c r="B192" s="41">
        <v>6</v>
      </c>
      <c r="C192" s="40" t="s">
        <v>66</v>
      </c>
      <c r="D192" t="s">
        <v>51</v>
      </c>
      <c r="E192" s="10">
        <v>0</v>
      </c>
      <c r="F192" s="11">
        <v>0</v>
      </c>
      <c r="G192" s="12">
        <v>0</v>
      </c>
      <c r="H192" s="13">
        <v>2</v>
      </c>
      <c r="J192" s="6"/>
      <c r="K192" s="7"/>
      <c r="L192" s="8"/>
      <c r="M192" s="9"/>
      <c r="O192" s="10"/>
      <c r="P192" s="11"/>
      <c r="Q192" s="12"/>
      <c r="R192" s="13"/>
      <c r="T192" s="6"/>
      <c r="U192" s="7"/>
      <c r="V192" s="8"/>
      <c r="W192" s="9"/>
      <c r="Y192" s="10"/>
      <c r="Z192" s="11"/>
      <c r="AA192" s="12"/>
      <c r="AB192" s="13"/>
      <c r="AD192" s="6"/>
      <c r="AE192" s="7"/>
      <c r="AF192" s="8"/>
      <c r="AG192" s="9"/>
      <c r="AI192" s="10"/>
      <c r="AJ192" s="11"/>
      <c r="AK192" s="12"/>
      <c r="AL192" s="13"/>
      <c r="AN192" s="6"/>
      <c r="AO192" s="7"/>
      <c r="AP192" s="8"/>
      <c r="AQ192" s="9"/>
      <c r="AS192" s="10"/>
      <c r="AT192" s="11"/>
      <c r="AU192" s="12"/>
      <c r="AV192" s="13"/>
      <c r="AX192" s="6"/>
      <c r="AY192" s="7"/>
      <c r="AZ192" s="8"/>
      <c r="BA192" s="9"/>
      <c r="BC192" s="46">
        <f t="shared" si="23"/>
        <v>2</v>
      </c>
      <c r="BD192" s="47">
        <f>(SUM(BE192,'Run distances (Term 2)'!BI192,'Run distances (Term 3)'!BI151,'Run distances (Term 4)'!BI192))</f>
        <v>7.4999999999999991</v>
      </c>
      <c r="BE192" s="47">
        <f t="shared" si="26"/>
        <v>0.6</v>
      </c>
    </row>
    <row r="193" spans="1:57" x14ac:dyDescent="0.25">
      <c r="A193" s="40" t="s">
        <v>303</v>
      </c>
      <c r="B193" s="41">
        <v>6</v>
      </c>
      <c r="C193" s="40" t="s">
        <v>66</v>
      </c>
      <c r="D193" t="s">
        <v>51</v>
      </c>
      <c r="E193" s="10">
        <v>0</v>
      </c>
      <c r="F193" s="11">
        <v>0</v>
      </c>
      <c r="G193" s="12">
        <v>0</v>
      </c>
      <c r="H193" s="13">
        <v>7</v>
      </c>
      <c r="J193" s="6">
        <v>0</v>
      </c>
      <c r="K193" s="7">
        <v>6</v>
      </c>
      <c r="L193" s="8">
        <v>6</v>
      </c>
      <c r="M193" s="9">
        <v>6</v>
      </c>
      <c r="O193" s="10"/>
      <c r="P193" s="11">
        <v>8</v>
      </c>
      <c r="Q193" s="12">
        <v>5</v>
      </c>
      <c r="R193" s="13"/>
      <c r="T193" s="6">
        <v>6</v>
      </c>
      <c r="U193" s="7">
        <v>3</v>
      </c>
      <c r="V193" s="8">
        <v>5</v>
      </c>
      <c r="W193" s="9">
        <v>3</v>
      </c>
      <c r="Y193" s="10"/>
      <c r="Z193" s="11"/>
      <c r="AA193" s="12"/>
      <c r="AB193" s="13"/>
      <c r="AD193" s="6"/>
      <c r="AE193" s="7"/>
      <c r="AF193" s="8"/>
      <c r="AG193" s="9">
        <v>5</v>
      </c>
      <c r="AI193" s="10">
        <v>5</v>
      </c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>
        <v>3</v>
      </c>
      <c r="BC193" s="46">
        <f t="shared" si="23"/>
        <v>68</v>
      </c>
      <c r="BD193" s="47">
        <f>(SUM(BE193,'Run distances (Term 2)'!BI193,'Run distances (Term 3)'!BI152,'Run distances (Term 4)'!BI193))</f>
        <v>27.3</v>
      </c>
      <c r="BE193" s="47">
        <f t="shared" si="26"/>
        <v>20.399999999999999</v>
      </c>
    </row>
    <row r="194" spans="1:57" x14ac:dyDescent="0.25">
      <c r="A194" s="40" t="s">
        <v>302</v>
      </c>
      <c r="B194" s="41">
        <v>8</v>
      </c>
      <c r="C194" s="40" t="s">
        <v>66</v>
      </c>
      <c r="D194" t="s">
        <v>57</v>
      </c>
      <c r="E194" s="10"/>
      <c r="F194" s="11"/>
      <c r="G194" s="12">
        <v>1</v>
      </c>
      <c r="H194" s="13"/>
      <c r="J194" s="6"/>
      <c r="K194" s="7"/>
      <c r="L194" s="8">
        <v>1</v>
      </c>
      <c r="M194" s="9">
        <v>1</v>
      </c>
      <c r="O194" s="10">
        <v>4</v>
      </c>
      <c r="P194" s="11">
        <v>4</v>
      </c>
      <c r="Q194" s="12">
        <v>7</v>
      </c>
      <c r="R194" s="13">
        <v>8</v>
      </c>
      <c r="T194" s="6">
        <v>4</v>
      </c>
      <c r="U194" s="7">
        <v>6</v>
      </c>
      <c r="V194" s="8"/>
      <c r="W194" s="9">
        <v>5</v>
      </c>
      <c r="Y194" s="10">
        <v>4</v>
      </c>
      <c r="Z194" s="11">
        <v>5</v>
      </c>
      <c r="AA194" s="12">
        <v>5</v>
      </c>
      <c r="AB194" s="13"/>
      <c r="AD194" s="6"/>
      <c r="AE194" s="7">
        <v>4</v>
      </c>
      <c r="AF194" s="8">
        <v>6</v>
      </c>
      <c r="AG194" s="9">
        <v>4</v>
      </c>
      <c r="AI194" s="10">
        <v>5</v>
      </c>
      <c r="AJ194" s="11">
        <v>5</v>
      </c>
      <c r="AK194" s="12">
        <v>3</v>
      </c>
      <c r="AL194" s="13">
        <v>4</v>
      </c>
      <c r="AN194" s="6"/>
      <c r="AO194" s="7">
        <v>5</v>
      </c>
      <c r="AP194" s="8">
        <v>4</v>
      </c>
      <c r="AQ194" s="9">
        <v>4</v>
      </c>
      <c r="AS194" s="10"/>
      <c r="AT194" s="11">
        <v>4</v>
      </c>
      <c r="AU194" s="12"/>
      <c r="AV194" s="13"/>
      <c r="AX194" s="6"/>
      <c r="AY194" s="7"/>
      <c r="AZ194" s="8"/>
      <c r="BA194" s="9"/>
      <c r="BC194" s="46">
        <f t="shared" si="23"/>
        <v>103</v>
      </c>
      <c r="BD194" s="47">
        <f>(SUM(BE194,'Run distances (Term 2)'!BI194,'Run distances (Term 3)'!BI153,'Run distances (Term 4)'!BI194))</f>
        <v>32.1</v>
      </c>
      <c r="BE194" s="47">
        <f t="shared" si="26"/>
        <v>30.9</v>
      </c>
    </row>
    <row r="195" spans="1:57" x14ac:dyDescent="0.25">
      <c r="A195" s="40" t="s">
        <v>390</v>
      </c>
      <c r="B195" s="41">
        <v>8</v>
      </c>
      <c r="C195" s="40" t="s">
        <v>66</v>
      </c>
      <c r="D195" t="s">
        <v>57</v>
      </c>
      <c r="E195" s="10"/>
      <c r="F195" s="11"/>
      <c r="G195" s="12"/>
      <c r="H195" s="13"/>
      <c r="J195" s="6"/>
      <c r="K195" s="7"/>
      <c r="L195" s="8"/>
      <c r="M195" s="9"/>
      <c r="O195" s="10"/>
      <c r="P195" s="11"/>
      <c r="Q195" s="12"/>
      <c r="R195" s="13"/>
      <c r="T195" s="6"/>
      <c r="U195" s="7">
        <v>4</v>
      </c>
      <c r="V195" s="8">
        <v>5</v>
      </c>
      <c r="W195" s="9">
        <v>5</v>
      </c>
      <c r="Y195" s="10"/>
      <c r="Z195" s="11"/>
      <c r="AA195" s="12"/>
      <c r="AB195" s="13"/>
      <c r="AD195" s="6"/>
      <c r="AE195" s="7"/>
      <c r="AF195" s="8"/>
      <c r="AG195" s="9">
        <v>3</v>
      </c>
      <c r="AI195" s="10"/>
      <c r="AJ195" s="11"/>
      <c r="AK195" s="12"/>
      <c r="AL195" s="13"/>
      <c r="AN195" s="6"/>
      <c r="AO195" s="7">
        <v>6</v>
      </c>
      <c r="AP195" s="8">
        <v>6</v>
      </c>
      <c r="AQ195" s="9">
        <v>4</v>
      </c>
      <c r="AS195" s="10"/>
      <c r="AT195" s="11">
        <v>6</v>
      </c>
      <c r="AU195" s="12"/>
      <c r="AV195" s="13"/>
      <c r="AX195" s="6">
        <v>4</v>
      </c>
      <c r="AY195" s="7"/>
      <c r="AZ195" s="8">
        <v>3</v>
      </c>
      <c r="BA195" s="9">
        <v>3</v>
      </c>
      <c r="BC195" s="46">
        <f t="shared" si="23"/>
        <v>49</v>
      </c>
      <c r="BD195" s="47">
        <f>(SUM(BE195,'Run distances (Term 2)'!BI195,'Run distances (Term 3)'!BI154,'Run distances (Term 4)'!BI195))</f>
        <v>36.9</v>
      </c>
      <c r="BE195" s="47">
        <f t="shared" si="26"/>
        <v>14.7</v>
      </c>
    </row>
    <row r="196" spans="1:57" x14ac:dyDescent="0.25">
      <c r="A196" s="40" t="s">
        <v>391</v>
      </c>
      <c r="B196" s="41">
        <v>8</v>
      </c>
      <c r="C196" s="40" t="s">
        <v>66</v>
      </c>
      <c r="D196" t="s">
        <v>57</v>
      </c>
      <c r="E196" s="10"/>
      <c r="F196" s="11"/>
      <c r="G196" s="12"/>
      <c r="H196" s="13"/>
      <c r="J196" s="6"/>
      <c r="K196" s="7"/>
      <c r="L196" s="8"/>
      <c r="M196" s="9"/>
      <c r="O196" s="10"/>
      <c r="P196" s="11"/>
      <c r="Q196" s="12"/>
      <c r="R196" s="13">
        <v>6</v>
      </c>
      <c r="T196" s="6"/>
      <c r="U196" s="7"/>
      <c r="V196" s="8">
        <v>6</v>
      </c>
      <c r="W196" s="9"/>
      <c r="Y196" s="10"/>
      <c r="Z196" s="11"/>
      <c r="AA196" s="12"/>
      <c r="AB196" s="13"/>
      <c r="AD196" s="6"/>
      <c r="AE196" s="7"/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si="23"/>
        <v>12</v>
      </c>
      <c r="BD196" s="47">
        <f>(SUM(BE196,'Run distances (Term 2)'!BI196,'Run distances (Term 3)'!BI155,'Run distances (Term 4)'!BI196))</f>
        <v>4.1999999999999993</v>
      </c>
      <c r="BE196" s="47">
        <f t="shared" si="26"/>
        <v>3.5999999999999996</v>
      </c>
    </row>
    <row r="197" spans="1:57" x14ac:dyDescent="0.25">
      <c r="A197" s="40" t="s">
        <v>392</v>
      </c>
      <c r="B197" s="41">
        <v>8</v>
      </c>
      <c r="C197" s="40" t="s">
        <v>66</v>
      </c>
      <c r="D197" t="s">
        <v>57</v>
      </c>
      <c r="E197" s="10"/>
      <c r="F197" s="11"/>
      <c r="G197" s="12"/>
      <c r="H197" s="13"/>
      <c r="J197" s="6"/>
      <c r="K197" s="7"/>
      <c r="L197" s="8"/>
      <c r="M197" s="9"/>
      <c r="O197" s="10"/>
      <c r="P197" s="11"/>
      <c r="Q197" s="12"/>
      <c r="R197" s="13"/>
      <c r="T197" s="6"/>
      <c r="U197" s="7"/>
      <c r="V197" s="8"/>
      <c r="W197" s="9"/>
      <c r="Y197" s="10"/>
      <c r="Z197" s="11">
        <v>1</v>
      </c>
      <c r="AA197" s="12">
        <v>1</v>
      </c>
      <c r="AB197" s="13"/>
      <c r="AD197" s="6"/>
      <c r="AE197" s="7"/>
      <c r="AF197" s="8"/>
      <c r="AG197" s="9"/>
      <c r="AI197" s="10"/>
      <c r="AJ197" s="11"/>
      <c r="AK197" s="12"/>
      <c r="AL197" s="13"/>
      <c r="AN197" s="6"/>
      <c r="AO197" s="7"/>
      <c r="AP197" s="8"/>
      <c r="AQ197" s="9"/>
      <c r="AS197" s="10"/>
      <c r="AT197" s="11"/>
      <c r="AU197" s="12"/>
      <c r="AV197" s="13"/>
      <c r="AX197" s="6"/>
      <c r="AY197" s="7"/>
      <c r="AZ197" s="8"/>
      <c r="BA197" s="9"/>
      <c r="BC197" s="46">
        <f t="shared" ref="BC197" si="29">SUM(E197:BA197)</f>
        <v>2</v>
      </c>
      <c r="BD197" s="47">
        <f>(SUM(BE197,'Run distances (Term 2)'!BI197,'Run distances (Term 3)'!BI156,'Run distances (Term 4)'!BI197))</f>
        <v>5.9999999999999991</v>
      </c>
      <c r="BE197" s="47">
        <f t="shared" si="26"/>
        <v>0.6</v>
      </c>
    </row>
    <row r="198" spans="1:57" x14ac:dyDescent="0.25">
      <c r="A198" s="40" t="s">
        <v>393</v>
      </c>
      <c r="B198" s="41">
        <v>8</v>
      </c>
      <c r="C198" s="40" t="s">
        <v>66</v>
      </c>
      <c r="D198" t="s">
        <v>57</v>
      </c>
      <c r="E198" s="10"/>
      <c r="F198" s="11"/>
      <c r="G198" s="12"/>
      <c r="H198" s="13"/>
      <c r="J198" s="6"/>
      <c r="K198" s="7"/>
      <c r="L198" s="8"/>
      <c r="M198" s="9"/>
      <c r="O198" s="10"/>
      <c r="P198" s="11"/>
      <c r="Q198" s="12"/>
      <c r="R198" s="13"/>
      <c r="T198" s="6"/>
      <c r="U198" s="7"/>
      <c r="V198" s="8"/>
      <c r="W198" s="9"/>
      <c r="Y198" s="10"/>
      <c r="Z198" s="11"/>
      <c r="AA198" s="12">
        <v>3</v>
      </c>
      <c r="AB198" s="13"/>
      <c r="AD198" s="6"/>
      <c r="AE198" s="7"/>
      <c r="AF198" s="8"/>
      <c r="AG198" s="9"/>
      <c r="AI198" s="10"/>
      <c r="AJ198" s="11"/>
      <c r="AK198" s="12"/>
      <c r="AL198" s="13"/>
      <c r="AN198" s="6"/>
      <c r="AO198" s="7"/>
      <c r="AP198" s="8"/>
      <c r="AQ198" s="9"/>
      <c r="AS198" s="10"/>
      <c r="AT198" s="11"/>
      <c r="AU198" s="12"/>
      <c r="AV198" s="13"/>
      <c r="AX198" s="6"/>
      <c r="AY198" s="7"/>
      <c r="AZ198" s="8"/>
      <c r="BA198" s="9"/>
      <c r="BC198" s="46">
        <f t="shared" si="23"/>
        <v>3</v>
      </c>
      <c r="BD198" s="47">
        <f>(SUM(BE198,'Run distances (Term 2)'!BI198,'Run distances (Term 3)'!BI157,'Run distances (Term 4)'!BI198))</f>
        <v>2.6999999999999997</v>
      </c>
      <c r="BE198" s="47">
        <f t="shared" si="26"/>
        <v>0.89999999999999991</v>
      </c>
    </row>
    <row r="199" spans="1:57" x14ac:dyDescent="0.25">
      <c r="A199" s="40" t="s">
        <v>394</v>
      </c>
      <c r="B199" s="41">
        <v>9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/>
      <c r="V199" s="8"/>
      <c r="W199" s="9"/>
      <c r="Y199" s="10"/>
      <c r="Z199" s="11">
        <v>4</v>
      </c>
      <c r="AA199" s="12"/>
      <c r="AB199" s="13"/>
      <c r="AD199" s="6"/>
      <c r="AE199" s="7">
        <v>2</v>
      </c>
      <c r="AF199" s="8"/>
      <c r="AG199" s="9"/>
      <c r="AI199" s="10"/>
      <c r="AJ199" s="11"/>
      <c r="AK199" s="12"/>
      <c r="AL199" s="13"/>
      <c r="AN199" s="6"/>
      <c r="AO199" s="7"/>
      <c r="AP199" s="8"/>
      <c r="AQ199" s="9"/>
      <c r="AS199" s="10"/>
      <c r="AT199" s="11"/>
      <c r="AU199" s="12"/>
      <c r="AV199" s="13"/>
      <c r="AX199" s="6"/>
      <c r="AY199" s="7"/>
      <c r="AZ199" s="8"/>
      <c r="BA199" s="9"/>
      <c r="BC199" s="46">
        <f t="shared" ref="BC199:BC205" si="30">SUM(E199:BA199)</f>
        <v>6</v>
      </c>
      <c r="BD199" s="47">
        <f>(SUM(BE199,'Run distances (Term 2)'!BI199,'Run distances (Term 3)'!BI158,'Run distances (Term 4)'!BI199))</f>
        <v>3</v>
      </c>
      <c r="BE199" s="47">
        <f t="shared" si="26"/>
        <v>1.7999999999999998</v>
      </c>
    </row>
    <row r="200" spans="1:57" x14ac:dyDescent="0.25">
      <c r="A200" s="40" t="s">
        <v>395</v>
      </c>
      <c r="B200" s="41">
        <v>9</v>
      </c>
      <c r="C200" s="40" t="s">
        <v>66</v>
      </c>
      <c r="D200" t="s">
        <v>57</v>
      </c>
      <c r="E200" s="10"/>
      <c r="F200" s="11"/>
      <c r="G200" s="12"/>
      <c r="H200" s="13"/>
      <c r="J200" s="6"/>
      <c r="K200" s="7"/>
      <c r="L200" s="8"/>
      <c r="M200" s="9"/>
      <c r="O200" s="10"/>
      <c r="P200" s="11">
        <v>1</v>
      </c>
      <c r="Q200" s="12">
        <v>2</v>
      </c>
      <c r="R200" s="13"/>
      <c r="T200" s="6"/>
      <c r="U200" s="7"/>
      <c r="V200" s="8">
        <v>1</v>
      </c>
      <c r="W200" s="9">
        <v>1</v>
      </c>
      <c r="Y200" s="10">
        <v>1</v>
      </c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>
        <v>2</v>
      </c>
      <c r="AN200" s="6"/>
      <c r="AO200" s="7"/>
      <c r="AP200" s="8"/>
      <c r="AQ200" s="9"/>
      <c r="AS200" s="10"/>
      <c r="AT200" s="11">
        <v>1</v>
      </c>
      <c r="AU200" s="12"/>
      <c r="AV200" s="13"/>
      <c r="AX200" s="6"/>
      <c r="AY200" s="7"/>
      <c r="AZ200" s="8"/>
      <c r="BA200" s="9"/>
      <c r="BC200" s="46">
        <f t="shared" si="30"/>
        <v>9</v>
      </c>
      <c r="BD200" s="47">
        <f>(SUM(BE200,'Run distances (Term 2)'!BI200,'Run distances (Term 3)'!BI159,'Run distances (Term 4)'!BI200))</f>
        <v>12.9</v>
      </c>
      <c r="BE200" s="47">
        <f t="shared" si="26"/>
        <v>2.6999999999999997</v>
      </c>
    </row>
    <row r="201" spans="1:57" x14ac:dyDescent="0.25">
      <c r="A201" s="40" t="s">
        <v>396</v>
      </c>
      <c r="B201" s="41">
        <v>9</v>
      </c>
      <c r="C201" s="40" t="s">
        <v>66</v>
      </c>
      <c r="D201" t="s">
        <v>57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>
        <v>1</v>
      </c>
      <c r="T201" s="6"/>
      <c r="U201" s="7"/>
      <c r="V201" s="8">
        <v>1</v>
      </c>
      <c r="W201" s="9">
        <v>1</v>
      </c>
      <c r="Y201" s="10"/>
      <c r="Z201" s="11"/>
      <c r="AA201" s="12"/>
      <c r="AB201" s="13"/>
      <c r="AD201" s="6"/>
      <c r="AE201" s="7"/>
      <c r="AF201" s="8"/>
      <c r="AG201" s="9"/>
      <c r="AI201" s="10"/>
      <c r="AJ201" s="11"/>
      <c r="AK201" s="12"/>
      <c r="AL201" s="13">
        <v>1</v>
      </c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si="30"/>
        <v>4</v>
      </c>
      <c r="BD201" s="47">
        <f>(SUM(BE201,'Run distances (Term 2)'!BI201,'Run distances (Term 3)'!BI160,'Run distances (Term 4)'!BI201))</f>
        <v>1.2</v>
      </c>
      <c r="BE201" s="47">
        <f t="shared" si="26"/>
        <v>1.2</v>
      </c>
    </row>
    <row r="202" spans="1:57" x14ac:dyDescent="0.25">
      <c r="A202" s="40" t="s">
        <v>397</v>
      </c>
      <c r="B202" s="41">
        <v>9</v>
      </c>
      <c r="C202" s="40" t="s">
        <v>66</v>
      </c>
      <c r="D202" t="s">
        <v>57</v>
      </c>
      <c r="E202" s="10"/>
      <c r="F202" s="11"/>
      <c r="G202" s="12"/>
      <c r="H202" s="13"/>
      <c r="J202" s="6"/>
      <c r="K202" s="7"/>
      <c r="L202" s="8"/>
      <c r="M202" s="9"/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/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>
        <v>2</v>
      </c>
      <c r="AS202" s="10"/>
      <c r="AT202" s="11"/>
      <c r="AU202" s="12"/>
      <c r="AV202" s="13"/>
      <c r="AX202" s="6"/>
      <c r="AY202" s="7"/>
      <c r="AZ202" s="8"/>
      <c r="BA202" s="9"/>
      <c r="BC202" s="46">
        <f t="shared" si="30"/>
        <v>2</v>
      </c>
      <c r="BD202" s="47">
        <f>(SUM(BE202,'Run distances (Term 2)'!BI202,'Run distances (Term 3)'!BI161,'Run distances (Term 4)'!BI202))</f>
        <v>0.89999999999999991</v>
      </c>
      <c r="BE202" s="47">
        <f t="shared" si="26"/>
        <v>0.6</v>
      </c>
    </row>
    <row r="203" spans="1:57" x14ac:dyDescent="0.25">
      <c r="A203" s="40" t="s">
        <v>294</v>
      </c>
      <c r="B203" s="41">
        <v>1</v>
      </c>
      <c r="C203" s="40" t="s">
        <v>66</v>
      </c>
      <c r="D203" t="s">
        <v>62</v>
      </c>
      <c r="E203" s="10"/>
      <c r="F203" s="11"/>
      <c r="G203" s="12"/>
      <c r="H203" s="13"/>
      <c r="J203" s="6">
        <v>2</v>
      </c>
      <c r="K203" s="7">
        <v>0</v>
      </c>
      <c r="L203" s="8"/>
      <c r="M203" s="9"/>
      <c r="O203" s="10"/>
      <c r="P203" s="11"/>
      <c r="Q203" s="12"/>
      <c r="R203" s="13"/>
      <c r="T203" s="6"/>
      <c r="U203" s="7"/>
      <c r="V203" s="8"/>
      <c r="W203" s="9"/>
      <c r="Y203" s="10"/>
      <c r="Z203" s="11"/>
      <c r="AA203" s="12"/>
      <c r="AB203" s="13"/>
      <c r="AD203" s="6"/>
      <c r="AE203" s="7"/>
      <c r="AF203" s="8"/>
      <c r="AG203" s="9"/>
      <c r="AI203" s="10"/>
      <c r="AJ203" s="11"/>
      <c r="AK203" s="12"/>
      <c r="AL203" s="13"/>
      <c r="AN203" s="6"/>
      <c r="AO203" s="7"/>
      <c r="AP203" s="8"/>
      <c r="AQ203" s="9"/>
      <c r="AS203" s="10"/>
      <c r="AT203" s="11"/>
      <c r="AU203" s="12"/>
      <c r="AV203" s="13"/>
      <c r="AX203" s="6"/>
      <c r="AY203" s="7"/>
      <c r="AZ203" s="8"/>
      <c r="BA203" s="9"/>
      <c r="BC203" s="46">
        <f t="shared" si="30"/>
        <v>2</v>
      </c>
      <c r="BD203" s="47">
        <f>(SUM(BE203,'Run distances (Term 2)'!BI203,'Run distances (Term 3)'!BI162,'Run distances (Term 4)'!BI203))</f>
        <v>6.3</v>
      </c>
      <c r="BE203" s="47">
        <f t="shared" si="26"/>
        <v>0.6</v>
      </c>
    </row>
    <row r="204" spans="1:57" x14ac:dyDescent="0.25">
      <c r="A204" s="40" t="s">
        <v>353</v>
      </c>
      <c r="B204" s="41">
        <v>1</v>
      </c>
      <c r="C204" s="40" t="s">
        <v>66</v>
      </c>
      <c r="D204" t="s">
        <v>355</v>
      </c>
      <c r="E204" s="10"/>
      <c r="F204" s="11"/>
      <c r="G204" s="12"/>
      <c r="H204" s="13"/>
      <c r="J204" s="6"/>
      <c r="K204" s="7"/>
      <c r="L204" s="8"/>
      <c r="M204" s="9"/>
      <c r="O204" s="10"/>
      <c r="P204" s="11"/>
      <c r="Q204" s="12"/>
      <c r="R204" s="13"/>
      <c r="T204" s="6"/>
      <c r="U204" s="7"/>
      <c r="V204" s="8"/>
      <c r="W204" s="9"/>
      <c r="Y204" s="10"/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/>
      <c r="AN204" s="6"/>
      <c r="AO204" s="7"/>
      <c r="AP204" s="8"/>
      <c r="AQ204" s="9"/>
      <c r="AS204" s="10"/>
      <c r="AT204" s="11"/>
      <c r="AU204" s="12"/>
      <c r="AV204" s="13"/>
      <c r="AX204" s="6"/>
      <c r="AY204" s="7"/>
      <c r="AZ204" s="8"/>
      <c r="BA204" s="9"/>
      <c r="BC204" s="46">
        <f t="shared" si="30"/>
        <v>0</v>
      </c>
      <c r="BD204" s="47">
        <f>(SUM(BE204,'Run distances (Term 2)'!BI204,'Run distances (Term 3)'!BI163,'Run distances (Term 4)'!BI204))</f>
        <v>1.5</v>
      </c>
      <c r="BE204" s="47">
        <f t="shared" si="26"/>
        <v>0</v>
      </c>
    </row>
    <row r="205" spans="1:57" x14ac:dyDescent="0.25">
      <c r="A205" s="40" t="s">
        <v>293</v>
      </c>
      <c r="B205" s="41">
        <v>1</v>
      </c>
      <c r="C205" s="40" t="s">
        <v>66</v>
      </c>
      <c r="D205" t="s">
        <v>62</v>
      </c>
      <c r="E205" s="10"/>
      <c r="F205" s="11"/>
      <c r="G205" s="12"/>
      <c r="H205" s="13"/>
      <c r="J205" s="6"/>
      <c r="K205" s="7"/>
      <c r="L205" s="8"/>
      <c r="M205" s="9">
        <v>1</v>
      </c>
      <c r="O205" s="10"/>
      <c r="P205" s="11"/>
      <c r="Q205" s="12"/>
      <c r="R205" s="13"/>
      <c r="T205" s="6"/>
      <c r="U205" s="7"/>
      <c r="V205" s="8"/>
      <c r="W205" s="9"/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/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>
        <v>1</v>
      </c>
      <c r="BC205" s="46">
        <f t="shared" si="30"/>
        <v>2</v>
      </c>
      <c r="BD205" s="47">
        <f>(SUM(BE205,'Run distances (Term 2)'!BI205,'Run distances (Term 3)'!BI164,'Run distances (Term 4)'!BI205))</f>
        <v>3</v>
      </c>
      <c r="BE205" s="47">
        <f t="shared" si="26"/>
        <v>0.6</v>
      </c>
    </row>
    <row r="206" spans="1:57" x14ac:dyDescent="0.25">
      <c r="A206" s="40" t="s">
        <v>398</v>
      </c>
      <c r="B206" s="41">
        <v>1</v>
      </c>
      <c r="C206" s="40" t="s">
        <v>66</v>
      </c>
      <c r="D206" t="s">
        <v>62</v>
      </c>
      <c r="E206" s="10"/>
      <c r="F206" s="11"/>
      <c r="G206" s="12"/>
      <c r="H206" s="13"/>
      <c r="J206" s="6"/>
      <c r="K206" s="7"/>
      <c r="L206" s="8"/>
      <c r="M206" s="9"/>
      <c r="O206" s="10"/>
      <c r="P206" s="11"/>
      <c r="Q206" s="12"/>
      <c r="R206" s="13">
        <v>1</v>
      </c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>
        <v>2</v>
      </c>
      <c r="AP206" s="8"/>
      <c r="AQ206" s="9"/>
      <c r="AS206" s="10"/>
      <c r="AT206" s="11"/>
      <c r="AU206" s="12"/>
      <c r="AV206" s="13"/>
      <c r="AX206" s="6">
        <v>3</v>
      </c>
      <c r="AY206" s="7"/>
      <c r="AZ206" s="8">
        <v>3</v>
      </c>
      <c r="BA206" s="9"/>
      <c r="BC206" s="46">
        <f t="shared" ref="BC206" si="31">SUM(E206:BA206)</f>
        <v>9</v>
      </c>
      <c r="BD206" s="47">
        <f>(SUM(BE206,'Run distances (Term 2)'!BI206,'Run distances (Term 3)'!BI165,'Run distances (Term 4)'!BI206))</f>
        <v>7.1999999999999993</v>
      </c>
      <c r="BE206" s="47">
        <f t="shared" si="26"/>
        <v>2.6999999999999997</v>
      </c>
    </row>
    <row r="207" spans="1:57" x14ac:dyDescent="0.25">
      <c r="A207" s="40" t="s">
        <v>399</v>
      </c>
      <c r="B207" s="41">
        <v>1</v>
      </c>
      <c r="C207" s="40" t="s">
        <v>66</v>
      </c>
      <c r="D207" t="s">
        <v>62</v>
      </c>
      <c r="E207" s="10"/>
      <c r="F207" s="11"/>
      <c r="G207" s="12"/>
      <c r="H207" s="13"/>
      <c r="J207" s="6"/>
      <c r="K207" s="7"/>
      <c r="L207" s="8"/>
      <c r="M207" s="9"/>
      <c r="O207" s="10"/>
      <c r="P207" s="11"/>
      <c r="Q207" s="12"/>
      <c r="R207" s="13"/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>
        <v>1</v>
      </c>
      <c r="AQ207" s="9"/>
      <c r="AS207" s="10"/>
      <c r="AT207" s="11"/>
      <c r="AU207" s="12"/>
      <c r="AV207" s="13"/>
      <c r="AX207" s="6"/>
      <c r="AY207" s="7"/>
      <c r="AZ207" s="8"/>
      <c r="BA207" s="9"/>
      <c r="BC207" s="46">
        <f t="shared" ref="BC207:BC236" si="32">SUM(E207:BA207)</f>
        <v>1</v>
      </c>
      <c r="BD207" s="47">
        <f>(SUM(BE207,'Run distances (Term 2)'!BI208,'Run distances (Term 3)'!BI166,'Run distances (Term 4)'!BI207))</f>
        <v>4.5</v>
      </c>
      <c r="BE207" s="47">
        <f t="shared" si="26"/>
        <v>0.3</v>
      </c>
    </row>
    <row r="208" spans="1:57" x14ac:dyDescent="0.25">
      <c r="A208" s="40" t="s">
        <v>351</v>
      </c>
      <c r="B208" s="41">
        <v>1</v>
      </c>
      <c r="C208" s="40" t="s">
        <v>66</v>
      </c>
      <c r="D208" t="s">
        <v>355</v>
      </c>
      <c r="E208" s="10"/>
      <c r="F208" s="11"/>
      <c r="G208" s="12"/>
      <c r="H208" s="13"/>
      <c r="J208" s="6"/>
      <c r="K208" s="7"/>
      <c r="L208" s="8"/>
      <c r="M208" s="9"/>
      <c r="O208" s="10"/>
      <c r="P208" s="11"/>
      <c r="Q208" s="12"/>
      <c r="R208" s="13"/>
      <c r="T208" s="6"/>
      <c r="U208" s="7"/>
      <c r="V208" s="8"/>
      <c r="W208" s="9"/>
      <c r="Y208" s="10"/>
      <c r="Z208" s="11"/>
      <c r="AA208" s="12"/>
      <c r="AB208" s="13"/>
      <c r="AD208" s="6"/>
      <c r="AE208" s="7"/>
      <c r="AF208" s="8"/>
      <c r="AG208" s="9"/>
      <c r="AI208" s="10"/>
      <c r="AJ208" s="11"/>
      <c r="AK208" s="12"/>
      <c r="AL208" s="13"/>
      <c r="AN208" s="6"/>
      <c r="AO208" s="7"/>
      <c r="AP208" s="8"/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2"/>
        <v>0</v>
      </c>
      <c r="BD208" s="47">
        <f>(SUM(BE208,'Run distances (Term 2)'!BI209,'Run distances (Term 3)'!BI167,'Run distances (Term 4)'!BI208))</f>
        <v>2.0999999999999996</v>
      </c>
      <c r="BE208" s="47">
        <f t="shared" si="26"/>
        <v>0</v>
      </c>
    </row>
    <row r="209" spans="1:57" x14ac:dyDescent="0.25">
      <c r="A209" s="40" t="s">
        <v>291</v>
      </c>
      <c r="B209" s="40" t="s">
        <v>53</v>
      </c>
      <c r="C209" s="40" t="s">
        <v>66</v>
      </c>
      <c r="D209" t="s">
        <v>62</v>
      </c>
      <c r="E209" s="10">
        <v>1</v>
      </c>
      <c r="F209" s="11"/>
      <c r="G209" s="12"/>
      <c r="H209" s="13">
        <v>1</v>
      </c>
      <c r="J209" s="6"/>
      <c r="K209" s="7"/>
      <c r="L209" s="8"/>
      <c r="M209" s="9"/>
      <c r="O209" s="10"/>
      <c r="P209" s="11"/>
      <c r="Q209" s="12"/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/>
      <c r="BC209" s="46">
        <f t="shared" si="32"/>
        <v>2</v>
      </c>
      <c r="BD209" s="47">
        <f>(SUM(BE209,'Run distances (Term 2)'!BI210,'Run distances (Term 3)'!BI168,'Run distances (Term 4)'!BI209))</f>
        <v>9.6</v>
      </c>
      <c r="BE209" s="47">
        <f t="shared" si="26"/>
        <v>0.6</v>
      </c>
    </row>
    <row r="210" spans="1:57" x14ac:dyDescent="0.25">
      <c r="A210" s="40" t="s">
        <v>290</v>
      </c>
      <c r="B210" s="40" t="s">
        <v>53</v>
      </c>
      <c r="C210" s="40" t="s">
        <v>66</v>
      </c>
      <c r="D210" t="s">
        <v>62</v>
      </c>
      <c r="E210" s="10"/>
      <c r="F210" s="11"/>
      <c r="G210" s="12"/>
      <c r="H210" s="13"/>
      <c r="J210" s="6"/>
      <c r="K210" s="7"/>
      <c r="L210" s="8"/>
      <c r="M210" s="9">
        <v>1</v>
      </c>
      <c r="O210" s="10"/>
      <c r="P210" s="11"/>
      <c r="Q210" s="12">
        <v>5</v>
      </c>
      <c r="R210" s="13">
        <v>5</v>
      </c>
      <c r="T210" s="6"/>
      <c r="U210" s="7"/>
      <c r="V210" s="8"/>
      <c r="W210" s="9"/>
      <c r="Y210" s="10"/>
      <c r="Z210" s="11"/>
      <c r="AA210" s="12"/>
      <c r="AB210" s="13"/>
      <c r="AD210" s="6"/>
      <c r="AE210" s="7"/>
      <c r="AF210" s="8"/>
      <c r="AG210" s="9"/>
      <c r="AI210" s="10"/>
      <c r="AJ210" s="11"/>
      <c r="AK210" s="12"/>
      <c r="AL210" s="13"/>
      <c r="AN210" s="6"/>
      <c r="AO210" s="7"/>
      <c r="AP210" s="8"/>
      <c r="AQ210" s="9"/>
      <c r="AS210" s="10"/>
      <c r="AT210" s="11"/>
      <c r="AU210" s="12"/>
      <c r="AV210" s="13"/>
      <c r="AX210" s="6"/>
      <c r="AY210" s="7"/>
      <c r="AZ210" s="8"/>
      <c r="BA210" s="9">
        <v>1</v>
      </c>
      <c r="BC210" s="46">
        <f t="shared" si="32"/>
        <v>12</v>
      </c>
      <c r="BD210" s="47">
        <f>(SUM(BE210,'Run distances (Term 2)'!BI211,'Run distances (Term 3)'!BI169,'Run distances (Term 4)'!BI210))</f>
        <v>7.7999999999999989</v>
      </c>
      <c r="BE210" s="47">
        <f t="shared" si="26"/>
        <v>3.5999999999999996</v>
      </c>
    </row>
    <row r="211" spans="1:57" x14ac:dyDescent="0.25">
      <c r="A211" s="40" t="s">
        <v>289</v>
      </c>
      <c r="B211" s="40" t="s">
        <v>53</v>
      </c>
      <c r="C211" s="40" t="s">
        <v>66</v>
      </c>
      <c r="D211" t="s">
        <v>54</v>
      </c>
      <c r="E211" s="10"/>
      <c r="F211" s="11"/>
      <c r="G211" s="12"/>
      <c r="H211" s="13">
        <v>1</v>
      </c>
      <c r="J211" s="6"/>
      <c r="K211" s="7"/>
      <c r="L211" s="8"/>
      <c r="M211" s="9"/>
      <c r="O211" s="10"/>
      <c r="P211" s="11"/>
      <c r="Q211" s="12"/>
      <c r="R211" s="13">
        <v>1</v>
      </c>
      <c r="T211" s="6"/>
      <c r="U211" s="7"/>
      <c r="V211" s="8"/>
      <c r="W211" s="9"/>
      <c r="Y211" s="10"/>
      <c r="Z211" s="11">
        <v>1</v>
      </c>
      <c r="AA211" s="12">
        <v>1</v>
      </c>
      <c r="AB211" s="13"/>
      <c r="AD211" s="6"/>
      <c r="AE211" s="7"/>
      <c r="AF211" s="8">
        <v>1</v>
      </c>
      <c r="AG211" s="9"/>
      <c r="AI211" s="10">
        <v>1</v>
      </c>
      <c r="AJ211" s="11"/>
      <c r="AK211" s="12">
        <v>1</v>
      </c>
      <c r="AL211" s="13">
        <v>1</v>
      </c>
      <c r="AN211" s="6"/>
      <c r="AO211" s="7"/>
      <c r="AP211" s="8">
        <v>1</v>
      </c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si="32"/>
        <v>9</v>
      </c>
      <c r="BD211" s="47">
        <f>(SUM(BE211,'Run distances (Term 2)'!BI212,'Run distances (Term 3)'!BI170,'Run distances (Term 4)'!BI211))</f>
        <v>4.8</v>
      </c>
      <c r="BE211" s="47">
        <f t="shared" si="26"/>
        <v>2.6999999999999997</v>
      </c>
    </row>
    <row r="212" spans="1:57" x14ac:dyDescent="0.25">
      <c r="A212" s="40" t="s">
        <v>400</v>
      </c>
      <c r="B212" s="40" t="s">
        <v>53</v>
      </c>
      <c r="C212" s="40" t="s">
        <v>66</v>
      </c>
      <c r="D212" t="s">
        <v>54</v>
      </c>
      <c r="E212" s="10"/>
      <c r="F212" s="11"/>
      <c r="G212" s="12"/>
      <c r="H212" s="13"/>
      <c r="J212" s="6"/>
      <c r="K212" s="7"/>
      <c r="L212" s="8"/>
      <c r="M212" s="9"/>
      <c r="O212" s="10"/>
      <c r="P212" s="11"/>
      <c r="Q212" s="12">
        <v>1</v>
      </c>
      <c r="R212" s="13"/>
      <c r="T212" s="6"/>
      <c r="U212" s="7"/>
      <c r="V212" s="8"/>
      <c r="W212" s="9"/>
      <c r="Y212" s="10"/>
      <c r="Z212" s="11"/>
      <c r="AA212" s="12"/>
      <c r="AB212" s="13"/>
      <c r="AD212" s="6"/>
      <c r="AE212" s="7"/>
      <c r="AF212" s="8"/>
      <c r="AG212" s="9"/>
      <c r="AI212" s="10"/>
      <c r="AJ212" s="11"/>
      <c r="AK212" s="12"/>
      <c r="AL212" s="13"/>
      <c r="AN212" s="6"/>
      <c r="AO212" s="7"/>
      <c r="AP212" s="8"/>
      <c r="AQ212" s="9"/>
      <c r="AS212" s="10"/>
      <c r="AT212" s="11"/>
      <c r="AU212" s="12"/>
      <c r="AV212" s="13"/>
      <c r="AX212" s="6"/>
      <c r="AY212" s="7"/>
      <c r="AZ212" s="8"/>
      <c r="BA212" s="9"/>
      <c r="BC212" s="46">
        <f t="shared" si="32"/>
        <v>1</v>
      </c>
      <c r="BD212" s="47">
        <f>(SUM(BE212,'Run distances (Term 2)'!BI213,'Run distances (Term 3)'!BI171,'Run distances (Term 4)'!BI212))</f>
        <v>2.6999999999999997</v>
      </c>
      <c r="BE212" s="47">
        <f t="shared" si="26"/>
        <v>0.3</v>
      </c>
    </row>
    <row r="213" spans="1:57" x14ac:dyDescent="0.25">
      <c r="A213" s="40" t="s">
        <v>401</v>
      </c>
      <c r="B213" s="40" t="s">
        <v>53</v>
      </c>
      <c r="C213" s="40" t="s">
        <v>66</v>
      </c>
      <c r="D213" t="s">
        <v>54</v>
      </c>
      <c r="E213" s="10"/>
      <c r="F213" s="11"/>
      <c r="G213" s="12"/>
      <c r="H213" s="13"/>
      <c r="J213" s="6"/>
      <c r="K213" s="7"/>
      <c r="L213" s="8"/>
      <c r="M213" s="9"/>
      <c r="O213" s="10"/>
      <c r="P213" s="11"/>
      <c r="Q213" s="12"/>
      <c r="R213" s="13"/>
      <c r="T213" s="6"/>
      <c r="U213" s="7"/>
      <c r="V213" s="8"/>
      <c r="W213" s="9">
        <v>1</v>
      </c>
      <c r="Y213" s="10">
        <v>1</v>
      </c>
      <c r="Z213" s="11"/>
      <c r="AA213" s="12"/>
      <c r="AB213" s="13"/>
      <c r="AD213" s="6"/>
      <c r="AE213" s="7"/>
      <c r="AF213" s="8"/>
      <c r="AG213" s="9"/>
      <c r="AI213" s="10"/>
      <c r="AJ213" s="11"/>
      <c r="AK213" s="12">
        <v>1</v>
      </c>
      <c r="AL213" s="13">
        <v>2</v>
      </c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>
        <v>1</v>
      </c>
      <c r="BC213" s="46">
        <f t="shared" si="32"/>
        <v>6</v>
      </c>
      <c r="BD213" s="47">
        <f>(SUM(BE213,'Run distances (Term 2)'!BI214,'Run distances (Term 3)'!BI172,'Run distances (Term 4)'!BI213))</f>
        <v>5.6999999999999993</v>
      </c>
      <c r="BE213" s="47">
        <f t="shared" si="26"/>
        <v>1.7999999999999998</v>
      </c>
    </row>
    <row r="214" spans="1:57" x14ac:dyDescent="0.25">
      <c r="A214" s="40" t="s">
        <v>403</v>
      </c>
      <c r="B214" s="40" t="s">
        <v>53</v>
      </c>
      <c r="C214" s="40" t="s">
        <v>66</v>
      </c>
      <c r="D214" s="50" t="s">
        <v>54</v>
      </c>
      <c r="E214" s="10"/>
      <c r="F214" s="11"/>
      <c r="G214" s="12"/>
      <c r="H214" s="13"/>
      <c r="J214" s="6"/>
      <c r="K214" s="7"/>
      <c r="L214" s="8"/>
      <c r="M214" s="9"/>
      <c r="O214" s="10"/>
      <c r="P214" s="11"/>
      <c r="Q214" s="12"/>
      <c r="R214" s="13"/>
      <c r="T214" s="6"/>
      <c r="U214" s="7"/>
      <c r="V214" s="8"/>
      <c r="W214" s="9"/>
      <c r="Y214" s="10"/>
      <c r="Z214" s="11"/>
      <c r="AA214" s="12"/>
      <c r="AB214" s="13"/>
      <c r="AD214" s="6"/>
      <c r="AE214" s="7"/>
      <c r="AF214" s="8"/>
      <c r="AG214" s="9"/>
      <c r="AI214" s="10"/>
      <c r="AJ214" s="11"/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/>
      <c r="BC214" s="46">
        <f t="shared" si="32"/>
        <v>0</v>
      </c>
      <c r="BD214" s="47">
        <f>(SUM(BE214,'Run distances (Term 2)'!BI215,'Run distances (Term 3)'!BI173,'Run distances (Term 4)'!BI214))</f>
        <v>26.099999999999998</v>
      </c>
      <c r="BE214" s="47">
        <f t="shared" si="26"/>
        <v>0</v>
      </c>
    </row>
    <row r="215" spans="1:57" x14ac:dyDescent="0.25">
      <c r="A215" s="40" t="s">
        <v>402</v>
      </c>
      <c r="B215" s="40">
        <v>7</v>
      </c>
      <c r="C215" s="40" t="s">
        <v>66</v>
      </c>
      <c r="E215" s="10"/>
      <c r="F215" s="11"/>
      <c r="G215" s="12"/>
      <c r="H215" s="13"/>
      <c r="J215" s="6"/>
      <c r="K215" s="7"/>
      <c r="L215" s="8"/>
      <c r="M215" s="9"/>
      <c r="O215" s="10">
        <v>2</v>
      </c>
      <c r="P215" s="11"/>
      <c r="Q215" s="12">
        <v>5</v>
      </c>
      <c r="R215" s="13">
        <v>4</v>
      </c>
      <c r="T215" s="6">
        <v>7</v>
      </c>
      <c r="U215" s="7">
        <v>5</v>
      </c>
      <c r="V215" s="8">
        <v>5</v>
      </c>
      <c r="W215" s="9">
        <v>5</v>
      </c>
      <c r="Y215" s="10"/>
      <c r="Z215" s="11"/>
      <c r="AA215" s="12"/>
      <c r="AB215" s="13"/>
      <c r="AD215" s="6"/>
      <c r="AE215" s="7"/>
      <c r="AF215" s="8">
        <v>6</v>
      </c>
      <c r="AG215" s="9">
        <v>6</v>
      </c>
      <c r="AI215" s="10">
        <v>5</v>
      </c>
      <c r="AJ215" s="11">
        <v>3</v>
      </c>
      <c r="AK215" s="12"/>
      <c r="AL215" s="13">
        <v>6</v>
      </c>
      <c r="AN215" s="6"/>
      <c r="AO215" s="7">
        <v>6</v>
      </c>
      <c r="AP215" s="8">
        <v>4</v>
      </c>
      <c r="AQ215" s="9">
        <v>5</v>
      </c>
      <c r="AS215" s="10"/>
      <c r="AT215" s="11">
        <v>7</v>
      </c>
      <c r="AU215" s="12"/>
      <c r="AV215" s="13"/>
      <c r="AX215" s="6">
        <v>8</v>
      </c>
      <c r="AY215" s="7"/>
      <c r="AZ215" s="8">
        <v>5</v>
      </c>
      <c r="BA215" s="9">
        <v>7</v>
      </c>
      <c r="BC215" s="46">
        <f t="shared" si="32"/>
        <v>101</v>
      </c>
      <c r="BD215" s="47">
        <f>(SUM(BE215,'Run distances (Term 2)'!BI216,'Run distances (Term 3)'!BI174,'Run distances (Term 4)'!BI215))</f>
        <v>62.099999999999994</v>
      </c>
      <c r="BE215" s="47">
        <f t="shared" si="26"/>
        <v>30.299999999999997</v>
      </c>
    </row>
    <row r="216" spans="1:57" x14ac:dyDescent="0.25">
      <c r="A216" s="40" t="s">
        <v>257</v>
      </c>
      <c r="B216" s="40">
        <v>7</v>
      </c>
      <c r="C216" s="40" t="s">
        <v>66</v>
      </c>
      <c r="E216" s="10"/>
      <c r="F216" s="11"/>
      <c r="G216" s="12"/>
      <c r="H216" s="13"/>
      <c r="J216" s="6"/>
      <c r="K216" s="7"/>
      <c r="L216" s="8"/>
      <c r="M216" s="9"/>
      <c r="O216" s="10"/>
      <c r="P216" s="11"/>
      <c r="Q216" s="12"/>
      <c r="R216" s="13">
        <v>4</v>
      </c>
      <c r="T216" s="6"/>
      <c r="U216" s="7"/>
      <c r="V216" s="8"/>
      <c r="W216" s="9"/>
      <c r="Y216" s="10"/>
      <c r="Z216" s="11"/>
      <c r="AA216" s="12">
        <v>1</v>
      </c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5</v>
      </c>
      <c r="BD216" s="47">
        <f>(SUM(BE216,'Run distances (Term 2)'!BI217,'Run distances (Term 3)'!BI175,'Run distances (Term 4)'!BI216))</f>
        <v>3.3</v>
      </c>
      <c r="BE216" s="47">
        <f t="shared" si="26"/>
        <v>1.5</v>
      </c>
    </row>
    <row r="217" spans="1:57" x14ac:dyDescent="0.25">
      <c r="A217" s="40" t="s">
        <v>404</v>
      </c>
      <c r="B217" s="40">
        <v>7</v>
      </c>
      <c r="C217" s="40" t="s">
        <v>66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>
        <v>3</v>
      </c>
      <c r="Y217" s="10"/>
      <c r="Z217" s="11"/>
      <c r="AA217" s="12"/>
      <c r="AB217" s="13"/>
      <c r="AD217" s="6"/>
      <c r="AE217" s="7"/>
      <c r="AF217" s="8">
        <v>2</v>
      </c>
      <c r="AG217" s="9"/>
      <c r="AI217" s="10"/>
      <c r="AJ217" s="11">
        <v>4</v>
      </c>
      <c r="AK217" s="12"/>
      <c r="AL217" s="13"/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/>
      <c r="BC217" s="46">
        <f t="shared" si="32"/>
        <v>9</v>
      </c>
      <c r="BD217" s="47">
        <f>(SUM(BE217,'Run distances (Term 2)'!BI218,'Run distances (Term 3)'!BI176,'Run distances (Term 4)'!BI217))</f>
        <v>6</v>
      </c>
      <c r="BE217" s="47">
        <f t="shared" si="26"/>
        <v>2.6999999999999997</v>
      </c>
    </row>
    <row r="218" spans="1:57" x14ac:dyDescent="0.25">
      <c r="A218" s="40" t="s">
        <v>405</v>
      </c>
      <c r="B218" s="40">
        <v>7</v>
      </c>
      <c r="C218" s="40" t="s">
        <v>66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>
        <v>3</v>
      </c>
      <c r="BC218" s="46">
        <f t="shared" si="32"/>
        <v>3</v>
      </c>
      <c r="BD218" s="47">
        <f>(SUM(BE218,'Run distances (Term 2)'!BI219,'Run distances (Term 3)'!BI177,'Run distances (Term 4)'!BI218))</f>
        <v>15.9</v>
      </c>
      <c r="BE218" s="47">
        <f t="shared" si="26"/>
        <v>0.89999999999999991</v>
      </c>
    </row>
    <row r="219" spans="1:57" x14ac:dyDescent="0.25">
      <c r="A219" s="40" t="s">
        <v>406</v>
      </c>
      <c r="B219" s="40">
        <v>8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>
        <v>2</v>
      </c>
      <c r="P219" s="11">
        <v>3</v>
      </c>
      <c r="Q219" s="12">
        <v>3</v>
      </c>
      <c r="R219" s="13">
        <v>4</v>
      </c>
      <c r="T219" s="6"/>
      <c r="U219" s="7">
        <v>2</v>
      </c>
      <c r="V219" s="8">
        <v>2</v>
      </c>
      <c r="W219" s="9">
        <v>7</v>
      </c>
      <c r="Y219" s="10"/>
      <c r="Z219" s="11"/>
      <c r="AA219" s="12">
        <v>1</v>
      </c>
      <c r="AB219" s="13"/>
      <c r="AD219" s="6"/>
      <c r="AE219" s="7"/>
      <c r="AF219" s="8"/>
      <c r="AG219" s="9"/>
      <c r="AI219" s="10"/>
      <c r="AJ219" s="11"/>
      <c r="AK219" s="12"/>
      <c r="AL219" s="13"/>
      <c r="AN219" s="6"/>
      <c r="AO219" s="7"/>
      <c r="AP219" s="8"/>
      <c r="AQ219" s="9"/>
      <c r="AS219" s="10"/>
      <c r="AT219" s="11"/>
      <c r="AU219" s="12"/>
      <c r="AV219" s="13"/>
      <c r="AX219" s="6"/>
      <c r="AY219" s="7"/>
      <c r="AZ219" s="8"/>
      <c r="BA219" s="9"/>
      <c r="BC219" s="46">
        <f t="shared" si="32"/>
        <v>24</v>
      </c>
      <c r="BD219" s="47">
        <f>(SUM(BE219,'Run distances (Term 2)'!BI220,'Run distances (Term 3)'!BI178,'Run distances (Term 4)'!BI219))</f>
        <v>12.599999999999998</v>
      </c>
      <c r="BE219" s="47">
        <f t="shared" si="26"/>
        <v>7.1999999999999993</v>
      </c>
    </row>
    <row r="220" spans="1:57" x14ac:dyDescent="0.25">
      <c r="A220" s="40" t="s">
        <v>407</v>
      </c>
      <c r="B220" s="40"/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/>
      <c r="T220" s="6"/>
      <c r="U220" s="7"/>
      <c r="V220" s="8"/>
      <c r="W220" s="9"/>
      <c r="Y220" s="10"/>
      <c r="Z220" s="11"/>
      <c r="AA220" s="12"/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>
        <v>7</v>
      </c>
      <c r="BC220" s="46">
        <f t="shared" si="32"/>
        <v>7</v>
      </c>
      <c r="BD220" s="47">
        <f>(SUM(BE220,'Run distances (Term 2)'!BI221,'Run distances (Term 3)'!BI179,'Run distances (Term 4)'!BI220))</f>
        <v>2.1</v>
      </c>
      <c r="BE220" s="47">
        <f t="shared" si="26"/>
        <v>2.1</v>
      </c>
    </row>
    <row r="221" spans="1:57" x14ac:dyDescent="0.25">
      <c r="A221" s="40" t="s">
        <v>352</v>
      </c>
      <c r="B221" s="40">
        <v>4</v>
      </c>
      <c r="C221" s="40" t="s">
        <v>66</v>
      </c>
      <c r="D221" t="s">
        <v>55</v>
      </c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/>
      <c r="Y221" s="10"/>
      <c r="Z221" s="11"/>
      <c r="AA221" s="12"/>
      <c r="AB221" s="13"/>
      <c r="AD221" s="6"/>
      <c r="AE221" s="7"/>
      <c r="AF221" s="8"/>
      <c r="AG221" s="9"/>
      <c r="AI221" s="10"/>
      <c r="AJ221" s="11"/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>
        <v>7</v>
      </c>
      <c r="BC221" s="46">
        <f t="shared" si="32"/>
        <v>7</v>
      </c>
      <c r="BD221" s="47">
        <f>(SUM(BE221,'Run distances (Term 2)'!BI222,'Run distances (Term 3)'!BI180,'Run distances (Term 4)'!BI221))</f>
        <v>13.2</v>
      </c>
      <c r="BE221" s="47">
        <f t="shared" si="26"/>
        <v>2.1</v>
      </c>
    </row>
    <row r="222" spans="1:57" x14ac:dyDescent="0.25">
      <c r="A222" s="40" t="s">
        <v>416</v>
      </c>
      <c r="B222" s="40">
        <v>6</v>
      </c>
      <c r="C222" s="40" t="s">
        <v>66</v>
      </c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/>
      <c r="BC222" s="46">
        <f t="shared" si="32"/>
        <v>0</v>
      </c>
      <c r="BD222" s="47">
        <f>(SUM(BE222,'Run distances (Term 2)'!BI223,'Run distances (Term 3)'!BI181,'Run distances (Term 4)'!BI222))</f>
        <v>6</v>
      </c>
      <c r="BE222" s="47">
        <f t="shared" si="26"/>
        <v>0</v>
      </c>
    </row>
    <row r="223" spans="1:57" x14ac:dyDescent="0.25">
      <c r="A223" s="40" t="s">
        <v>421</v>
      </c>
      <c r="B223" s="40"/>
      <c r="C223" s="40" t="s">
        <v>66</v>
      </c>
      <c r="E223" s="10"/>
      <c r="F223" s="11"/>
      <c r="G223" s="12"/>
      <c r="H223" s="13"/>
      <c r="J223" s="6"/>
      <c r="K223" s="7"/>
      <c r="L223" s="8"/>
      <c r="M223" s="9"/>
      <c r="O223" s="10"/>
      <c r="P223" s="11"/>
      <c r="Q223" s="12"/>
      <c r="R223" s="13"/>
      <c r="T223" s="6"/>
      <c r="U223" s="7"/>
      <c r="V223" s="8"/>
      <c r="W223" s="9"/>
      <c r="Y223" s="10"/>
      <c r="Z223" s="11"/>
      <c r="AA223" s="12"/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0</v>
      </c>
      <c r="BD223" s="47">
        <f>(SUM(BE223,'Run distances (Term 2)'!BI224,'Run distances (Term 3)'!BI182,'Run distances (Term 4)'!BI223))</f>
        <v>6.3</v>
      </c>
      <c r="BE223" s="47">
        <f t="shared" si="26"/>
        <v>0</v>
      </c>
    </row>
    <row r="224" spans="1:57" x14ac:dyDescent="0.25">
      <c r="A224" s="40" t="s">
        <v>423</v>
      </c>
      <c r="B224" s="40">
        <v>3</v>
      </c>
      <c r="C224" s="40" t="s">
        <v>66</v>
      </c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/>
      <c r="BC224" s="46">
        <f t="shared" si="32"/>
        <v>0</v>
      </c>
      <c r="BD224" s="47">
        <f>(SUM(BE224,'Run distances (Term 2)'!BI225,'Run distances (Term 3)'!BI183,'Run distances (Term 4)'!BI224))</f>
        <v>3</v>
      </c>
      <c r="BE224" s="47">
        <f t="shared" si="26"/>
        <v>0</v>
      </c>
    </row>
    <row r="225" spans="1:57" x14ac:dyDescent="0.25">
      <c r="A225" s="40" t="s">
        <v>434</v>
      </c>
      <c r="B225" s="40"/>
      <c r="C225" s="40" t="s">
        <v>66</v>
      </c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/>
      <c r="BC225" s="46">
        <f t="shared" si="32"/>
        <v>0</v>
      </c>
      <c r="BD225" s="47">
        <f>(SUM(BE225,'Run distances (Term 2)'!BI226,'Run distances (Term 3)'!BI184,'Run distances (Term 4)'!BI225))</f>
        <v>1.7999999999999998</v>
      </c>
      <c r="BE225" s="47">
        <f t="shared" si="26"/>
        <v>0</v>
      </c>
    </row>
    <row r="226" spans="1:57" x14ac:dyDescent="0.25">
      <c r="A226" s="40" t="s">
        <v>435</v>
      </c>
      <c r="B226" s="40"/>
      <c r="C226" s="40" t="s">
        <v>66</v>
      </c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2)'!BI227,'Run distances (Term 3)'!BI185,'Run distances (Term 4)'!BI226))</f>
        <v>3.9</v>
      </c>
      <c r="BE226" s="47">
        <f t="shared" si="26"/>
        <v>0</v>
      </c>
    </row>
    <row r="227" spans="1:57" x14ac:dyDescent="0.25">
      <c r="A227" s="40" t="s">
        <v>440</v>
      </c>
      <c r="B227" s="40"/>
      <c r="C227" s="40" t="s">
        <v>66</v>
      </c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2)'!BI228,'Run distances (Term 3)'!BI186,'Run distances (Term 4)'!BI227))</f>
        <v>0.3</v>
      </c>
      <c r="BE227" s="47">
        <f t="shared" si="26"/>
        <v>0</v>
      </c>
    </row>
    <row r="228" spans="1:57" x14ac:dyDescent="0.25">
      <c r="A228" s="40" t="s">
        <v>436</v>
      </c>
      <c r="B228" s="40"/>
      <c r="C228" s="40" t="s">
        <v>66</v>
      </c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2)'!BI229,'Run distances (Term 3)'!BI187,'Run distances (Term 4)'!BI228))</f>
        <v>3.9</v>
      </c>
      <c r="BE228" s="47">
        <f t="shared" si="26"/>
        <v>0</v>
      </c>
    </row>
    <row r="229" spans="1:57" x14ac:dyDescent="0.25">
      <c r="A229" s="40" t="s">
        <v>437</v>
      </c>
      <c r="B229" s="40"/>
      <c r="C229" s="40" t="s">
        <v>66</v>
      </c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2)'!BI230,'Run distances (Term 3)'!BI188,'Run distances (Term 4)'!BI229))</f>
        <v>3.3</v>
      </c>
      <c r="BE229" s="47">
        <f t="shared" si="26"/>
        <v>0</v>
      </c>
    </row>
    <row r="230" spans="1:57" x14ac:dyDescent="0.25">
      <c r="A230" s="40" t="s">
        <v>438</v>
      </c>
      <c r="B230" s="40"/>
      <c r="C230" s="40" t="s">
        <v>66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2)'!BI231,'Run distances (Term 3)'!BI189,'Run distances (Term 4)'!BI230))</f>
        <v>0.3</v>
      </c>
      <c r="BE230" s="47">
        <f t="shared" si="26"/>
        <v>0</v>
      </c>
    </row>
    <row r="231" spans="1:57" x14ac:dyDescent="0.25">
      <c r="A231" s="40" t="s">
        <v>439</v>
      </c>
      <c r="B231" s="40"/>
      <c r="C231" s="40" t="s">
        <v>66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/>
      <c r="BC231" s="46">
        <f t="shared" si="32"/>
        <v>0</v>
      </c>
      <c r="BD231" s="47">
        <f>(SUM(BE231,'Run distances (Term 2)'!BI232,'Run distances (Term 3)'!BI190,'Run distances (Term 4)'!BI231))</f>
        <v>1.7999999999999998</v>
      </c>
      <c r="BE231" s="47">
        <f t="shared" si="26"/>
        <v>0</v>
      </c>
    </row>
    <row r="232" spans="1:57" x14ac:dyDescent="0.25">
      <c r="A232" s="40" t="s">
        <v>441</v>
      </c>
      <c r="B232" s="40"/>
      <c r="C232" s="40" t="s">
        <v>66</v>
      </c>
      <c r="E232" s="10"/>
      <c r="F232" s="11"/>
      <c r="G232" s="12"/>
      <c r="H232" s="13"/>
      <c r="J232" s="6"/>
      <c r="K232" s="7"/>
      <c r="L232" s="8"/>
      <c r="M232" s="9"/>
      <c r="O232" s="10"/>
      <c r="P232" s="11"/>
      <c r="Q232" s="12"/>
      <c r="R232" s="13"/>
      <c r="T232" s="6"/>
      <c r="U232" s="7"/>
      <c r="V232" s="8"/>
      <c r="W232" s="9"/>
      <c r="Y232" s="10"/>
      <c r="Z232" s="11"/>
      <c r="AA232" s="12"/>
      <c r="AB232" s="13"/>
      <c r="AD232" s="6"/>
      <c r="AE232" s="7"/>
      <c r="AF232" s="8"/>
      <c r="AG232" s="9"/>
      <c r="AI232" s="10"/>
      <c r="AJ232" s="11"/>
      <c r="AK232" s="12"/>
      <c r="AL232" s="13"/>
      <c r="AN232" s="6"/>
      <c r="AO232" s="7"/>
      <c r="AP232" s="8"/>
      <c r="AQ232" s="9"/>
      <c r="AS232" s="10"/>
      <c r="AT232" s="11"/>
      <c r="AU232" s="12"/>
      <c r="AV232" s="13"/>
      <c r="AX232" s="6"/>
      <c r="AY232" s="7"/>
      <c r="AZ232" s="8"/>
      <c r="BA232" s="9"/>
      <c r="BC232" s="46">
        <f t="shared" si="32"/>
        <v>0</v>
      </c>
      <c r="BD232" s="47">
        <f>(SUM(BE232,'Run distances (Term 2)'!BI233,'Run distances (Term 3)'!BI191,'Run distances (Term 4)'!BI232))</f>
        <v>1.5</v>
      </c>
      <c r="BE232" s="47">
        <f t="shared" si="26"/>
        <v>0</v>
      </c>
    </row>
    <row r="233" spans="1:57" x14ac:dyDescent="0.25">
      <c r="A233" s="40" t="s">
        <v>216</v>
      </c>
      <c r="B233" s="40"/>
      <c r="C233" s="40" t="s">
        <v>66</v>
      </c>
      <c r="E233" s="10"/>
      <c r="F233" s="11"/>
      <c r="G233" s="12"/>
      <c r="H233" s="13"/>
      <c r="J233" s="6"/>
      <c r="K233" s="7"/>
      <c r="L233" s="8"/>
      <c r="M233" s="9"/>
      <c r="O233" s="10"/>
      <c r="P233" s="11"/>
      <c r="Q233" s="12"/>
      <c r="R233" s="13"/>
      <c r="T233" s="6"/>
      <c r="U233" s="7"/>
      <c r="V233" s="8"/>
      <c r="W233" s="9"/>
      <c r="Y233" s="10"/>
      <c r="Z233" s="11"/>
      <c r="AA233" s="12"/>
      <c r="AB233" s="13"/>
      <c r="AD233" s="6"/>
      <c r="AE233" s="7"/>
      <c r="AF233" s="8"/>
      <c r="AG233" s="9"/>
      <c r="AI233" s="10"/>
      <c r="AJ233" s="11"/>
      <c r="AK233" s="12"/>
      <c r="AL233" s="13"/>
      <c r="AN233" s="6"/>
      <c r="AO233" s="7"/>
      <c r="AP233" s="8"/>
      <c r="AQ233" s="9"/>
      <c r="AS233" s="10"/>
      <c r="AT233" s="11"/>
      <c r="AU233" s="12"/>
      <c r="AV233" s="13"/>
      <c r="AX233" s="6"/>
      <c r="AY233" s="7"/>
      <c r="AZ233" s="8"/>
      <c r="BA233" s="9"/>
      <c r="BC233" s="46">
        <f t="shared" si="32"/>
        <v>0</v>
      </c>
      <c r="BD233" s="47">
        <f>(SUM(BE233,'Run distances (Term 2)'!BI236,'Run distances (Term 3)'!BI192,'Run distances (Term 4)'!BI233))</f>
        <v>2.4</v>
      </c>
      <c r="BE233" s="47">
        <f t="shared" si="26"/>
        <v>0</v>
      </c>
    </row>
    <row r="234" spans="1:57" x14ac:dyDescent="0.25">
      <c r="A234" s="40" t="s">
        <v>408</v>
      </c>
      <c r="B234" s="40"/>
      <c r="C234" s="40" t="s">
        <v>66</v>
      </c>
      <c r="E234" s="10"/>
      <c r="F234" s="11"/>
      <c r="G234" s="12"/>
      <c r="H234" s="13"/>
      <c r="J234" s="6"/>
      <c r="K234" s="7"/>
      <c r="L234" s="8"/>
      <c r="M234" s="9"/>
      <c r="O234" s="10"/>
      <c r="P234" s="11"/>
      <c r="Q234" s="12"/>
      <c r="R234" s="13"/>
      <c r="T234" s="6"/>
      <c r="U234" s="7"/>
      <c r="V234" s="8"/>
      <c r="W234" s="9"/>
      <c r="Y234" s="10"/>
      <c r="Z234" s="11"/>
      <c r="AA234" s="12"/>
      <c r="AB234" s="13"/>
      <c r="AD234" s="6"/>
      <c r="AE234" s="7"/>
      <c r="AF234" s="8"/>
      <c r="AG234" s="9"/>
      <c r="AI234" s="10"/>
      <c r="AJ234" s="11"/>
      <c r="AK234" s="12"/>
      <c r="AL234" s="13"/>
      <c r="AN234" s="6"/>
      <c r="AO234" s="7"/>
      <c r="AP234" s="8"/>
      <c r="AQ234" s="9"/>
      <c r="AS234" s="10"/>
      <c r="AT234" s="11"/>
      <c r="AU234" s="12"/>
      <c r="AV234" s="13"/>
      <c r="AX234" s="6"/>
      <c r="AY234" s="7"/>
      <c r="AZ234" s="8"/>
      <c r="BA234" s="9">
        <v>7</v>
      </c>
      <c r="BC234" s="46">
        <f t="shared" ref="BC234:BC235" si="33">SUM(E234:BA234)</f>
        <v>7</v>
      </c>
      <c r="BD234" s="47">
        <f>(SUM(BE234,'Run distances (Term 2)'!BI236,'Run distances (Term 3)'!BI192,'Run distances (Term 4)'!BI237))</f>
        <v>5.0999999999999996</v>
      </c>
      <c r="BE234" s="47">
        <f t="shared" ref="BE234:BE235" si="34">(SUM(E234:BB234)*$D$2)</f>
        <v>2.1</v>
      </c>
    </row>
    <row r="235" spans="1:57" x14ac:dyDescent="0.25">
      <c r="A235" s="40" t="s">
        <v>453</v>
      </c>
      <c r="B235" s="40"/>
      <c r="C235" s="40" t="s">
        <v>66</v>
      </c>
      <c r="E235" s="10"/>
      <c r="F235" s="11"/>
      <c r="G235" s="12"/>
      <c r="H235" s="13"/>
      <c r="J235" s="6"/>
      <c r="K235" s="7"/>
      <c r="L235" s="8"/>
      <c r="M235" s="9"/>
      <c r="O235" s="10"/>
      <c r="P235" s="11"/>
      <c r="Q235" s="12"/>
      <c r="R235" s="13"/>
      <c r="T235" s="6"/>
      <c r="U235" s="7"/>
      <c r="V235" s="8"/>
      <c r="W235" s="9"/>
      <c r="Y235" s="10"/>
      <c r="Z235" s="11"/>
      <c r="AA235" s="12"/>
      <c r="AB235" s="13"/>
      <c r="AD235" s="6"/>
      <c r="AE235" s="7"/>
      <c r="AF235" s="8"/>
      <c r="AG235" s="9"/>
      <c r="AI235" s="10"/>
      <c r="AJ235" s="11"/>
      <c r="AK235" s="12"/>
      <c r="AL235" s="13"/>
      <c r="AN235" s="6"/>
      <c r="AO235" s="7"/>
      <c r="AP235" s="8"/>
      <c r="AQ235" s="9"/>
      <c r="AS235" s="10"/>
      <c r="AT235" s="11"/>
      <c r="AU235" s="12"/>
      <c r="AV235" s="13"/>
      <c r="AX235" s="6"/>
      <c r="AY235" s="7"/>
      <c r="AZ235" s="8"/>
      <c r="BA235" s="9">
        <v>7</v>
      </c>
      <c r="BC235" s="46">
        <f t="shared" si="33"/>
        <v>7</v>
      </c>
      <c r="BD235" s="47">
        <f>(SUM(BE235,'Run distances (Term 2)'!BI236,'Run distances (Term 3)'!BI192,'Run distances (Term 4)'!BI238))</f>
        <v>4.5</v>
      </c>
      <c r="BE235" s="47">
        <f t="shared" si="34"/>
        <v>2.1</v>
      </c>
    </row>
    <row r="236" spans="1:57" x14ac:dyDescent="0.25">
      <c r="A236" s="40" t="s">
        <v>454</v>
      </c>
      <c r="B236" s="40"/>
      <c r="C236" s="40" t="s">
        <v>66</v>
      </c>
      <c r="E236" s="10"/>
      <c r="F236" s="11"/>
      <c r="G236" s="12"/>
      <c r="H236" s="13"/>
      <c r="J236" s="6"/>
      <c r="K236" s="7"/>
      <c r="L236" s="8"/>
      <c r="M236" s="9"/>
      <c r="O236" s="10"/>
      <c r="P236" s="11"/>
      <c r="Q236" s="12"/>
      <c r="R236" s="13"/>
      <c r="T236" s="6"/>
      <c r="U236" s="7"/>
      <c r="V236" s="8"/>
      <c r="W236" s="9"/>
      <c r="Y236" s="10"/>
      <c r="Z236" s="11"/>
      <c r="AA236" s="12"/>
      <c r="AB236" s="13"/>
      <c r="AD236" s="6"/>
      <c r="AE236" s="7"/>
      <c r="AF236" s="8"/>
      <c r="AG236" s="9"/>
      <c r="AI236" s="10"/>
      <c r="AJ236" s="11"/>
      <c r="AK236" s="12"/>
      <c r="AL236" s="13"/>
      <c r="AN236" s="6"/>
      <c r="AO236" s="7"/>
      <c r="AP236" s="8"/>
      <c r="AQ236" s="9"/>
      <c r="AS236" s="10"/>
      <c r="AT236" s="11"/>
      <c r="AU236" s="12"/>
      <c r="AV236" s="13"/>
      <c r="AX236" s="6"/>
      <c r="AY236" s="7"/>
      <c r="AZ236" s="8"/>
      <c r="BA236" s="9">
        <v>7</v>
      </c>
      <c r="BC236" s="46">
        <f t="shared" si="32"/>
        <v>7</v>
      </c>
      <c r="BD236" s="47">
        <f>(SUM(BE236,'Run distances (Term 2)'!BI237,'Run distances (Term 3)'!BI193,'Run distances (Term 4)'!BI239))</f>
        <v>3.3</v>
      </c>
      <c r="BE236" s="47">
        <f t="shared" si="26"/>
        <v>2.1</v>
      </c>
    </row>
  </sheetData>
  <sortState xmlns:xlrd2="http://schemas.microsoft.com/office/spreadsheetml/2017/richdata2" ref="A162:D213">
    <sortCondition ref="D162:D213"/>
    <sortCondition ref="B162:B213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36"/>
  <sheetViews>
    <sheetView topLeftCell="A194" workbookViewId="0">
      <pane xSplit="1" topLeftCell="AI1" activePane="topRight" state="frozen"/>
      <selection pane="topRight" activeCell="A215" sqref="A215:XFD215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7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7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420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2" si="8">SUM(E78:BF78)</f>
        <v>10</v>
      </c>
      <c r="BI78" s="47">
        <f t="shared" ref="BI78:BI82" si="9">(SUM(E78:BG78)*$D$2)</f>
        <v>3</v>
      </c>
    </row>
    <row r="79" spans="1:61" x14ac:dyDescent="0.2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0</v>
      </c>
      <c r="BI81" s="47">
        <f t="shared" si="9"/>
        <v>0</v>
      </c>
    </row>
    <row r="82" spans="1:61" x14ac:dyDescent="0.2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8"/>
        <v>0</v>
      </c>
      <c r="BI82" s="47">
        <f t="shared" si="9"/>
        <v>0</v>
      </c>
    </row>
    <row r="83" spans="1:61" x14ac:dyDescent="0.2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/>
      <c r="BI84" s="47"/>
    </row>
    <row r="85" spans="1:61" x14ac:dyDescent="0.25">
      <c r="A85" s="42" t="s">
        <v>219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218</v>
      </c>
      <c r="B86" s="43">
        <v>1</v>
      </c>
      <c r="C86" s="42" t="s">
        <v>64</v>
      </c>
      <c r="D86" t="s">
        <v>52</v>
      </c>
      <c r="E86" s="6"/>
      <c r="F86" s="7">
        <v>3</v>
      </c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3</v>
      </c>
      <c r="BI86" s="47">
        <f t="shared" si="3"/>
        <v>0.89999999999999991</v>
      </c>
    </row>
    <row r="87" spans="1:61" x14ac:dyDescent="0.25">
      <c r="A87" s="42" t="s">
        <v>362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217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ref="BH88:BH172" si="10">SUM(E88:BF88)</f>
        <v>0</v>
      </c>
      <c r="BI88" s="47">
        <f t="shared" ref="BI88:BI172" si="11">(SUM(E88:BG88)*$D$2)</f>
        <v>0</v>
      </c>
    </row>
    <row r="89" spans="1:61" x14ac:dyDescent="0.25">
      <c r="A89" s="42" t="s">
        <v>216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0"/>
        <v>0</v>
      </c>
      <c r="BI89" s="47">
        <f t="shared" si="11"/>
        <v>0</v>
      </c>
    </row>
    <row r="90" spans="1:61" x14ac:dyDescent="0.25">
      <c r="A90" s="42" t="s">
        <v>215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>
        <v>2</v>
      </c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0"/>
        <v>2</v>
      </c>
      <c r="BI90" s="47">
        <f t="shared" si="11"/>
        <v>0.6</v>
      </c>
    </row>
    <row r="91" spans="1:61" x14ac:dyDescent="0.25">
      <c r="A91" s="42" t="s">
        <v>214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>
        <v>1</v>
      </c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1</v>
      </c>
      <c r="BI91" s="47">
        <f t="shared" si="11"/>
        <v>0.3</v>
      </c>
    </row>
    <row r="92" spans="1:61" x14ac:dyDescent="0.25">
      <c r="A92" s="42" t="s">
        <v>213</v>
      </c>
      <c r="B92" s="43">
        <v>2</v>
      </c>
      <c r="C92" s="42" t="s">
        <v>64</v>
      </c>
      <c r="D92" t="s">
        <v>52</v>
      </c>
      <c r="E92" s="6"/>
      <c r="F92" s="7">
        <v>1</v>
      </c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1</v>
      </c>
      <c r="BI92" s="47">
        <f t="shared" si="11"/>
        <v>0.3</v>
      </c>
    </row>
    <row r="93" spans="1:61" x14ac:dyDescent="0.25">
      <c r="A93" s="42" t="s">
        <v>212</v>
      </c>
      <c r="B93" s="43">
        <v>2</v>
      </c>
      <c r="C93" s="42" t="s">
        <v>64</v>
      </c>
      <c r="D93" t="s">
        <v>52</v>
      </c>
      <c r="E93" s="6">
        <v>4</v>
      </c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>
        <v>4</v>
      </c>
      <c r="V93" s="12">
        <v>2</v>
      </c>
      <c r="W93" s="13">
        <v>3</v>
      </c>
      <c r="Y93" s="6"/>
      <c r="Z93" s="7"/>
      <c r="AA93" s="8"/>
      <c r="AB93" s="9"/>
      <c r="AD93" s="10"/>
      <c r="AE93" s="11"/>
      <c r="AF93" s="12"/>
      <c r="AG93" s="13"/>
      <c r="AI93" s="6"/>
      <c r="AJ93" s="7">
        <v>4</v>
      </c>
      <c r="AK93" s="8">
        <v>2</v>
      </c>
      <c r="AL93" s="9">
        <v>3</v>
      </c>
      <c r="AN93" s="10">
        <v>3</v>
      </c>
      <c r="AO93" s="11"/>
      <c r="AP93" s="12">
        <v>4</v>
      </c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29</v>
      </c>
      <c r="BI93" s="47">
        <f t="shared" si="11"/>
        <v>8.6999999999999993</v>
      </c>
    </row>
    <row r="94" spans="1:61" x14ac:dyDescent="0.25">
      <c r="A94" s="42" t="s">
        <v>211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0</v>
      </c>
      <c r="BI94" s="47">
        <f t="shared" si="11"/>
        <v>0</v>
      </c>
    </row>
    <row r="95" spans="1:61" x14ac:dyDescent="0.25">
      <c r="A95" s="42" t="s">
        <v>210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0</v>
      </c>
      <c r="BI95" s="47">
        <f t="shared" si="11"/>
        <v>0</v>
      </c>
    </row>
    <row r="96" spans="1:61" x14ac:dyDescent="0.25">
      <c r="A96" s="42" t="s">
        <v>363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0"/>
        <v>0</v>
      </c>
      <c r="BI96" s="47">
        <f t="shared" si="11"/>
        <v>0</v>
      </c>
    </row>
    <row r="97" spans="1:61" x14ac:dyDescent="0.25">
      <c r="A97" s="42" t="s">
        <v>208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0</v>
      </c>
      <c r="BI97" s="47">
        <f t="shared" si="11"/>
        <v>0</v>
      </c>
    </row>
    <row r="98" spans="1:61" x14ac:dyDescent="0.25">
      <c r="A98" s="42" t="s">
        <v>207</v>
      </c>
      <c r="B98" s="43">
        <v>3</v>
      </c>
      <c r="C98" s="42" t="s">
        <v>64</v>
      </c>
      <c r="D98" t="s">
        <v>56</v>
      </c>
      <c r="E98" s="6"/>
      <c r="F98" s="7">
        <v>1</v>
      </c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ref="BH98" si="12">SUM(E98:BF98)</f>
        <v>1</v>
      </c>
      <c r="BI98" s="47">
        <f t="shared" ref="BI98" si="13">(SUM(E98:BG98)*$D$2)</f>
        <v>0.3</v>
      </c>
    </row>
    <row r="99" spans="1:61" x14ac:dyDescent="0.25">
      <c r="A99" s="42" t="s">
        <v>364</v>
      </c>
      <c r="B99" s="43">
        <v>3</v>
      </c>
      <c r="C99" s="42" t="s">
        <v>64</v>
      </c>
      <c r="D99" t="s">
        <v>56</v>
      </c>
      <c r="E99" s="6"/>
      <c r="F99" s="7">
        <v>2</v>
      </c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2</v>
      </c>
      <c r="BI99" s="47">
        <f t="shared" si="11"/>
        <v>0.6</v>
      </c>
    </row>
    <row r="100" spans="1:61" x14ac:dyDescent="0.25">
      <c r="A100" s="42" t="s">
        <v>206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10"/>
        <v>0</v>
      </c>
      <c r="BI100" s="47">
        <f t="shared" si="11"/>
        <v>0</v>
      </c>
    </row>
    <row r="101" spans="1:61" x14ac:dyDescent="0.25">
      <c r="A101" s="42" t="s">
        <v>205</v>
      </c>
      <c r="B101" s="43">
        <v>3</v>
      </c>
      <c r="C101" s="42" t="s">
        <v>64</v>
      </c>
      <c r="D101" t="s">
        <v>56</v>
      </c>
      <c r="E101" s="6"/>
      <c r="F101" s="7"/>
      <c r="G101" s="8"/>
      <c r="H101" s="9"/>
      <c r="J101" s="10"/>
      <c r="K101" s="11"/>
      <c r="L101" s="12"/>
      <c r="M101" s="13">
        <v>1</v>
      </c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0"/>
        <v>1</v>
      </c>
      <c r="BI101" s="47">
        <f t="shared" si="11"/>
        <v>0.3</v>
      </c>
    </row>
    <row r="102" spans="1:61" x14ac:dyDescent="0.25">
      <c r="A102" s="42" t="s">
        <v>204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ref="BH102" si="14">SUM(E102:BF102)</f>
        <v>0</v>
      </c>
      <c r="BI102" s="47">
        <f t="shared" ref="BI102" si="15">(SUM(E102:BG102)*$D$2)</f>
        <v>0</v>
      </c>
    </row>
    <row r="103" spans="1:61" x14ac:dyDescent="0.25">
      <c r="A103" s="42" t="s">
        <v>347</v>
      </c>
      <c r="B103" s="43">
        <v>3</v>
      </c>
      <c r="C103" s="42" t="s">
        <v>64</v>
      </c>
      <c r="D103" t="s">
        <v>56</v>
      </c>
      <c r="E103" s="6"/>
      <c r="F103" s="7">
        <v>4</v>
      </c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>
        <v>2</v>
      </c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>SUM(E103:BF103)</f>
        <v>6</v>
      </c>
      <c r="BI103" s="47">
        <f t="shared" si="11"/>
        <v>1.7999999999999998</v>
      </c>
    </row>
    <row r="104" spans="1:61" x14ac:dyDescent="0.25">
      <c r="A104" s="42" t="s">
        <v>348</v>
      </c>
      <c r="B104" s="43">
        <v>3</v>
      </c>
      <c r="C104" s="42" t="s">
        <v>64</v>
      </c>
      <c r="D104" t="s">
        <v>56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>SUM(E104:BF104)</f>
        <v>0</v>
      </c>
      <c r="BI104" s="47">
        <f t="shared" si="11"/>
        <v>0</v>
      </c>
    </row>
    <row r="105" spans="1:61" x14ac:dyDescent="0.25">
      <c r="A105" s="42" t="s">
        <v>203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>
        <v>1</v>
      </c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0"/>
        <v>1</v>
      </c>
      <c r="BI105" s="47">
        <f t="shared" si="11"/>
        <v>0.3</v>
      </c>
    </row>
    <row r="106" spans="1:61" x14ac:dyDescent="0.25">
      <c r="A106" s="42" t="s">
        <v>365</v>
      </c>
      <c r="B106" s="43">
        <v>5</v>
      </c>
      <c r="C106" s="42" t="s">
        <v>64</v>
      </c>
      <c r="D106" t="s">
        <v>58</v>
      </c>
      <c r="E106" s="6"/>
      <c r="F106" s="7">
        <v>3</v>
      </c>
      <c r="G106" s="8">
        <v>1</v>
      </c>
      <c r="H106" s="9"/>
      <c r="J106" s="10"/>
      <c r="K106" s="11">
        <v>2</v>
      </c>
      <c r="L106" s="12"/>
      <c r="M106" s="13">
        <v>6</v>
      </c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0"/>
        <v>12</v>
      </c>
      <c r="BI106" s="47">
        <f t="shared" si="11"/>
        <v>3.5999999999999996</v>
      </c>
    </row>
    <row r="107" spans="1:61" x14ac:dyDescent="0.25">
      <c r="A107" s="42" t="s">
        <v>202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0</v>
      </c>
      <c r="BI107" s="47">
        <f t="shared" si="11"/>
        <v>0</v>
      </c>
    </row>
    <row r="108" spans="1:61" x14ac:dyDescent="0.25">
      <c r="A108" s="42" t="s">
        <v>201</v>
      </c>
      <c r="B108" s="43">
        <v>5</v>
      </c>
      <c r="C108" s="42" t="s">
        <v>64</v>
      </c>
      <c r="D108" t="s">
        <v>58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0</v>
      </c>
      <c r="BI108" s="47">
        <f t="shared" si="11"/>
        <v>0</v>
      </c>
    </row>
    <row r="109" spans="1:61" x14ac:dyDescent="0.25">
      <c r="A109" s="42" t="s">
        <v>200</v>
      </c>
      <c r="B109" s="43">
        <v>5</v>
      </c>
      <c r="C109" s="42" t="s">
        <v>64</v>
      </c>
      <c r="D109" t="s">
        <v>58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366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0</v>
      </c>
      <c r="BI110" s="47">
        <f t="shared" si="11"/>
        <v>0</v>
      </c>
    </row>
    <row r="111" spans="1:61" x14ac:dyDescent="0.25">
      <c r="A111" s="42" t="s">
        <v>198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197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>
        <v>1</v>
      </c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1</v>
      </c>
      <c r="BI112" s="47">
        <f t="shared" si="11"/>
        <v>0.3</v>
      </c>
    </row>
    <row r="113" spans="1:61" x14ac:dyDescent="0.25">
      <c r="A113" s="42" t="s">
        <v>377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0</v>
      </c>
      <c r="BI113" s="47">
        <f t="shared" si="11"/>
        <v>0</v>
      </c>
    </row>
    <row r="114" spans="1:61" x14ac:dyDescent="0.25">
      <c r="A114" s="42" t="s">
        <v>195</v>
      </c>
      <c r="B114" s="43">
        <v>4</v>
      </c>
      <c r="C114" s="42" t="s">
        <v>64</v>
      </c>
      <c r="D114" t="s">
        <v>55</v>
      </c>
      <c r="E114" s="6"/>
      <c r="F114" s="7">
        <v>2</v>
      </c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>
        <v>2</v>
      </c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4</v>
      </c>
      <c r="BI114" s="47">
        <f t="shared" si="11"/>
        <v>1.2</v>
      </c>
    </row>
    <row r="115" spans="1:61" x14ac:dyDescent="0.25">
      <c r="A115" s="42" t="s">
        <v>194</v>
      </c>
      <c r="B115" s="43">
        <v>4</v>
      </c>
      <c r="C115" s="42" t="s">
        <v>64</v>
      </c>
      <c r="D115" t="s">
        <v>55</v>
      </c>
      <c r="E115" s="6"/>
      <c r="F115" s="7">
        <v>1</v>
      </c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1</v>
      </c>
      <c r="BI115" s="47">
        <f t="shared" si="11"/>
        <v>0.3</v>
      </c>
    </row>
    <row r="116" spans="1:61" x14ac:dyDescent="0.25">
      <c r="A116" s="42" t="s">
        <v>193</v>
      </c>
      <c r="B116" s="43">
        <v>6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0</v>
      </c>
      <c r="BI116" s="47">
        <f t="shared" si="11"/>
        <v>0</v>
      </c>
    </row>
    <row r="117" spans="1:61" x14ac:dyDescent="0.25">
      <c r="A117" s="42" t="s">
        <v>192</v>
      </c>
      <c r="B117" s="43">
        <v>6</v>
      </c>
      <c r="C117" s="42" t="s">
        <v>64</v>
      </c>
      <c r="D117" t="s">
        <v>50</v>
      </c>
      <c r="E117" s="6"/>
      <c r="F117" s="7"/>
      <c r="G117" s="8">
        <v>3</v>
      </c>
      <c r="H117" s="9"/>
      <c r="J117" s="10">
        <v>2</v>
      </c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5</v>
      </c>
      <c r="BI117" s="47">
        <f t="shared" si="11"/>
        <v>1.5</v>
      </c>
    </row>
    <row r="118" spans="1:61" x14ac:dyDescent="0.25">
      <c r="A118" s="42" t="s">
        <v>191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367</v>
      </c>
      <c r="B119" s="43">
        <v>7</v>
      </c>
      <c r="C119" s="42" t="s">
        <v>64</v>
      </c>
      <c r="D119" t="s">
        <v>50</v>
      </c>
      <c r="E119" s="6"/>
      <c r="F119" s="7"/>
      <c r="G119" s="8">
        <v>6</v>
      </c>
      <c r="H119" s="9"/>
      <c r="J119" s="10">
        <v>3</v>
      </c>
      <c r="K119" s="11"/>
      <c r="L119" s="12"/>
      <c r="M119" s="13"/>
      <c r="O119" s="6"/>
      <c r="P119" s="7">
        <v>2</v>
      </c>
      <c r="Q119" s="8">
        <v>4</v>
      </c>
      <c r="R119" s="9"/>
      <c r="T119" s="10"/>
      <c r="U119" s="11">
        <v>7</v>
      </c>
      <c r="V119" s="12"/>
      <c r="W119" s="13">
        <v>2</v>
      </c>
      <c r="Y119" s="6"/>
      <c r="Z119" s="7"/>
      <c r="AA119" s="8"/>
      <c r="AB119" s="9"/>
      <c r="AD119" s="10"/>
      <c r="AE119" s="11"/>
      <c r="AF119" s="12"/>
      <c r="AG119" s="13">
        <v>2</v>
      </c>
      <c r="AI119" s="6"/>
      <c r="AJ119" s="7">
        <v>7</v>
      </c>
      <c r="AK119" s="8"/>
      <c r="AL119" s="9">
        <v>2</v>
      </c>
      <c r="AN119" s="10"/>
      <c r="AO119" s="11"/>
      <c r="AP119" s="12">
        <v>5</v>
      </c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40</v>
      </c>
      <c r="BI119" s="47">
        <f t="shared" si="11"/>
        <v>12</v>
      </c>
    </row>
    <row r="120" spans="1:61" x14ac:dyDescent="0.25">
      <c r="A120" s="42" t="s">
        <v>368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378</v>
      </c>
      <c r="B121" s="43">
        <v>7</v>
      </c>
      <c r="C121" s="42" t="s">
        <v>64</v>
      </c>
      <c r="D121" t="s">
        <v>50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>
        <v>1</v>
      </c>
      <c r="R121" s="9"/>
      <c r="T121" s="10"/>
      <c r="U121" s="11">
        <v>1</v>
      </c>
      <c r="V121" s="12"/>
      <c r="W121" s="13">
        <v>1</v>
      </c>
      <c r="Y121" s="6"/>
      <c r="Z121" s="7"/>
      <c r="AA121" s="8"/>
      <c r="AB121" s="9"/>
      <c r="AD121" s="10"/>
      <c r="AE121" s="11"/>
      <c r="AF121" s="12"/>
      <c r="AG121" s="13"/>
      <c r="AI121" s="6"/>
      <c r="AJ121" s="7">
        <v>1</v>
      </c>
      <c r="AK121" s="8"/>
      <c r="AL121" s="9">
        <v>1</v>
      </c>
      <c r="AN121" s="10">
        <v>1</v>
      </c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6</v>
      </c>
      <c r="BI121" s="47">
        <f t="shared" si="11"/>
        <v>1.7999999999999998</v>
      </c>
    </row>
    <row r="122" spans="1:61" x14ac:dyDescent="0.25">
      <c r="A122" s="42" t="s">
        <v>188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369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0</v>
      </c>
      <c r="BI123" s="47">
        <f t="shared" si="11"/>
        <v>0</v>
      </c>
    </row>
    <row r="124" spans="1:61" x14ac:dyDescent="0.25">
      <c r="A124" s="42" t="s">
        <v>370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187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186</v>
      </c>
      <c r="B126" s="43">
        <v>6</v>
      </c>
      <c r="C126" s="42" t="s">
        <v>64</v>
      </c>
      <c r="D126" t="s">
        <v>51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185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371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372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0</v>
      </c>
      <c r="BI129" s="47">
        <f t="shared" si="11"/>
        <v>0</v>
      </c>
    </row>
    <row r="130" spans="1:61" x14ac:dyDescent="0.25">
      <c r="A130" s="42" t="s">
        <v>373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0</v>
      </c>
      <c r="BI130" s="47">
        <f t="shared" si="11"/>
        <v>0</v>
      </c>
    </row>
    <row r="131" spans="1:61" x14ac:dyDescent="0.25">
      <c r="A131" s="42" t="s">
        <v>182</v>
      </c>
      <c r="B131" s="43">
        <v>8</v>
      </c>
      <c r="C131" s="42" t="s">
        <v>64</v>
      </c>
      <c r="D131" t="s">
        <v>61</v>
      </c>
      <c r="E131" s="6">
        <v>2</v>
      </c>
      <c r="F131" s="7">
        <v>2</v>
      </c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>
        <v>1</v>
      </c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>
        <v>1</v>
      </c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6</v>
      </c>
      <c r="BI131" s="47">
        <f t="shared" si="11"/>
        <v>1.7999999999999998</v>
      </c>
    </row>
    <row r="132" spans="1:61" x14ac:dyDescent="0.25">
      <c r="A132" s="42" t="s">
        <v>181</v>
      </c>
      <c r="B132" s="43">
        <v>9</v>
      </c>
      <c r="C132" s="42" t="s">
        <v>64</v>
      </c>
      <c r="D132" t="s">
        <v>61</v>
      </c>
      <c r="E132" s="6">
        <v>2</v>
      </c>
      <c r="F132" s="7">
        <v>2</v>
      </c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0"/>
        <v>4</v>
      </c>
      <c r="BI132" s="47">
        <f t="shared" si="11"/>
        <v>1.2</v>
      </c>
    </row>
    <row r="133" spans="1:61" x14ac:dyDescent="0.25">
      <c r="A133" s="42" t="s">
        <v>180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0</v>
      </c>
      <c r="BI133" s="47">
        <f t="shared" si="11"/>
        <v>0</v>
      </c>
    </row>
    <row r="134" spans="1:61" x14ac:dyDescent="0.25">
      <c r="A134" s="42" t="s">
        <v>413</v>
      </c>
      <c r="B134" s="43">
        <v>9</v>
      </c>
      <c r="C134" s="42" t="s">
        <v>64</v>
      </c>
      <c r="D134" t="s">
        <v>61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" si="16">SUM(E134:BF134)</f>
        <v>0</v>
      </c>
      <c r="BI134" s="47">
        <f t="shared" ref="BI134" si="17">(SUM(E134:BG134)*$D$2)</f>
        <v>0</v>
      </c>
    </row>
    <row r="135" spans="1:61" x14ac:dyDescent="0.25">
      <c r="A135" s="42" t="s">
        <v>233</v>
      </c>
      <c r="B135" s="43">
        <v>9</v>
      </c>
      <c r="C135" s="42" t="s">
        <v>64</v>
      </c>
      <c r="D135" t="s">
        <v>61</v>
      </c>
      <c r="E135" s="6"/>
      <c r="F135" s="7"/>
      <c r="G135" s="8"/>
      <c r="H135" s="9"/>
      <c r="J135" s="10"/>
      <c r="K135" s="11"/>
      <c r="L135" s="12">
        <v>3</v>
      </c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3</v>
      </c>
      <c r="BI135" s="47">
        <f t="shared" si="11"/>
        <v>0.89999999999999991</v>
      </c>
    </row>
    <row r="136" spans="1:61" x14ac:dyDescent="0.25">
      <c r="A136" s="42" t="s">
        <v>178</v>
      </c>
      <c r="B136" s="43">
        <v>8</v>
      </c>
      <c r="C136" s="42" t="s">
        <v>64</v>
      </c>
      <c r="D136" t="s">
        <v>57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0"/>
        <v>0</v>
      </c>
      <c r="BI136" s="47">
        <f t="shared" si="11"/>
        <v>0</v>
      </c>
    </row>
    <row r="137" spans="1:61" x14ac:dyDescent="0.25">
      <c r="A137" s="42" t="s">
        <v>177</v>
      </c>
      <c r="B137" s="43">
        <v>8</v>
      </c>
      <c r="C137" s="42" t="s">
        <v>64</v>
      </c>
      <c r="D137" t="s">
        <v>48</v>
      </c>
      <c r="E137" s="6">
        <v>1</v>
      </c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>
        <v>1</v>
      </c>
      <c r="W137" s="13">
        <v>1</v>
      </c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>
        <v>1</v>
      </c>
      <c r="AL137" s="9">
        <v>1</v>
      </c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0"/>
        <v>5</v>
      </c>
      <c r="BI137" s="47">
        <f t="shared" si="11"/>
        <v>1.5</v>
      </c>
    </row>
    <row r="138" spans="1:61" x14ac:dyDescent="0.25">
      <c r="A138" s="42" t="s">
        <v>176</v>
      </c>
      <c r="B138" s="43">
        <v>9</v>
      </c>
      <c r="C138" s="42" t="s">
        <v>64</v>
      </c>
      <c r="D138" t="s">
        <v>48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0"/>
        <v>0</v>
      </c>
      <c r="BI138" s="47">
        <f t="shared" si="11"/>
        <v>0</v>
      </c>
    </row>
    <row r="139" spans="1:61" x14ac:dyDescent="0.25">
      <c r="A139" s="42" t="s">
        <v>175</v>
      </c>
      <c r="B139" s="43">
        <v>1</v>
      </c>
      <c r="C139" s="42" t="s">
        <v>64</v>
      </c>
      <c r="D139" t="s">
        <v>62</v>
      </c>
      <c r="E139" s="6"/>
      <c r="F139" s="7">
        <v>4</v>
      </c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ref="BH139:BH140" si="18">SUM(E139:BF139)</f>
        <v>4</v>
      </c>
      <c r="BI139" s="47">
        <f t="shared" ref="BI139:BI140" si="19">(SUM(E139:BG139)*$D$2)</f>
        <v>1.2</v>
      </c>
    </row>
    <row r="140" spans="1:61" x14ac:dyDescent="0.25">
      <c r="A140" s="42" t="s">
        <v>379</v>
      </c>
      <c r="B140" s="43">
        <v>1</v>
      </c>
      <c r="C140" s="42" t="s">
        <v>64</v>
      </c>
      <c r="D140" t="s">
        <v>62</v>
      </c>
      <c r="E140" s="6"/>
      <c r="F140" s="7">
        <v>3</v>
      </c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8"/>
        <v>3</v>
      </c>
      <c r="BI140" s="47">
        <f t="shared" si="19"/>
        <v>0.89999999999999991</v>
      </c>
    </row>
    <row r="141" spans="1:61" x14ac:dyDescent="0.25">
      <c r="A141" s="42" t="s">
        <v>380</v>
      </c>
      <c r="B141" s="43">
        <v>1</v>
      </c>
      <c r="C141" s="42" t="s">
        <v>64</v>
      </c>
      <c r="D141" t="s">
        <v>62</v>
      </c>
      <c r="E141" s="6"/>
      <c r="F141" s="7">
        <v>2</v>
      </c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0"/>
        <v>2</v>
      </c>
      <c r="BI141" s="47">
        <f t="shared" si="11"/>
        <v>0.6</v>
      </c>
    </row>
    <row r="142" spans="1:61" x14ac:dyDescent="0.25">
      <c r="A142" s="42" t="s">
        <v>174</v>
      </c>
      <c r="B142" s="42" t="s">
        <v>53</v>
      </c>
      <c r="C142" s="42" t="s">
        <v>64</v>
      </c>
      <c r="D142" t="s">
        <v>54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0"/>
        <v>0</v>
      </c>
      <c r="BI142" s="47">
        <f t="shared" si="11"/>
        <v>0</v>
      </c>
    </row>
    <row r="143" spans="1:61" x14ac:dyDescent="0.25">
      <c r="A143" s="42" t="s">
        <v>375</v>
      </c>
      <c r="B143" s="42" t="s">
        <v>53</v>
      </c>
      <c r="C143" s="42" t="s">
        <v>64</v>
      </c>
      <c r="D143" t="s">
        <v>54</v>
      </c>
      <c r="E143" s="6"/>
      <c r="F143" s="7"/>
      <c r="G143" s="8">
        <v>1</v>
      </c>
      <c r="H143" s="9"/>
      <c r="J143" s="10"/>
      <c r="K143" s="11"/>
      <c r="L143" s="12">
        <v>1</v>
      </c>
      <c r="M143" s="13"/>
      <c r="O143" s="6"/>
      <c r="P143" s="7"/>
      <c r="Q143" s="8"/>
      <c r="R143" s="9"/>
      <c r="T143" s="10"/>
      <c r="U143" s="11">
        <v>1</v>
      </c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>
        <v>1</v>
      </c>
      <c r="AK143" s="8"/>
      <c r="AL143" s="9">
        <v>1</v>
      </c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5</v>
      </c>
      <c r="BI143" s="47">
        <f t="shared" si="11"/>
        <v>1.5</v>
      </c>
    </row>
    <row r="144" spans="1:61" x14ac:dyDescent="0.25">
      <c r="A144" s="42" t="s">
        <v>376</v>
      </c>
      <c r="B144" s="42" t="s">
        <v>53</v>
      </c>
      <c r="C144" s="42" t="s">
        <v>64</v>
      </c>
      <c r="D144" t="s">
        <v>54</v>
      </c>
      <c r="E144" s="6"/>
      <c r="F144" s="7">
        <v>2</v>
      </c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0"/>
        <v>2</v>
      </c>
      <c r="BI144" s="47">
        <f t="shared" si="11"/>
        <v>0.6</v>
      </c>
    </row>
    <row r="145" spans="1:61" x14ac:dyDescent="0.25">
      <c r="A145" s="42" t="s">
        <v>349</v>
      </c>
      <c r="B145" s="42" t="s">
        <v>53</v>
      </c>
      <c r="C145" s="42" t="s">
        <v>64</v>
      </c>
      <c r="D145" t="s">
        <v>54</v>
      </c>
      <c r="E145" s="6"/>
      <c r="F145" s="7">
        <v>3</v>
      </c>
      <c r="G145" s="8"/>
      <c r="H145" s="9"/>
      <c r="J145" s="10"/>
      <c r="K145" s="11"/>
      <c r="L145" s="12"/>
      <c r="M145" s="13">
        <v>3</v>
      </c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0"/>
        <v>6</v>
      </c>
      <c r="BI145" s="47">
        <f t="shared" si="11"/>
        <v>1.7999999999999998</v>
      </c>
    </row>
    <row r="146" spans="1:61" x14ac:dyDescent="0.25">
      <c r="A146" s="42" t="s">
        <v>382</v>
      </c>
      <c r="B146" s="42" t="s">
        <v>53</v>
      </c>
      <c r="C146" s="42" t="s">
        <v>64</v>
      </c>
      <c r="D146" t="s">
        <v>54</v>
      </c>
      <c r="E146" s="6"/>
      <c r="F146" s="7"/>
      <c r="G146" s="8"/>
      <c r="H146" s="9"/>
      <c r="J146" s="10"/>
      <c r="K146" s="11"/>
      <c r="L146" s="12"/>
      <c r="M146" s="13">
        <v>3</v>
      </c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>
        <v>4</v>
      </c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ref="BH146:BH159" si="20">SUM(E146:BF146)</f>
        <v>7</v>
      </c>
      <c r="BI146" s="47">
        <f t="shared" ref="BI146:BI159" si="21">(SUM(E146:BG146)*$D$2)</f>
        <v>2.1</v>
      </c>
    </row>
    <row r="147" spans="1:61" x14ac:dyDescent="0.25">
      <c r="A147" s="42" t="s">
        <v>346</v>
      </c>
      <c r="B147" s="42"/>
      <c r="C147" s="42" t="s">
        <v>64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20"/>
        <v>0</v>
      </c>
      <c r="BI147" s="47">
        <f t="shared" si="21"/>
        <v>0</v>
      </c>
    </row>
    <row r="148" spans="1:61" x14ac:dyDescent="0.25">
      <c r="A148" s="42" t="s">
        <v>418</v>
      </c>
      <c r="B148" s="42">
        <v>5</v>
      </c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20"/>
        <v>0</v>
      </c>
      <c r="BI148" s="47">
        <f t="shared" si="21"/>
        <v>0</v>
      </c>
    </row>
    <row r="149" spans="1:61" x14ac:dyDescent="0.25">
      <c r="A149" s="42" t="s">
        <v>350</v>
      </c>
      <c r="B149" s="42">
        <v>3</v>
      </c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429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430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431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432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20"/>
        <v>0</v>
      </c>
      <c r="BI153" s="47">
        <f t="shared" si="21"/>
        <v>0</v>
      </c>
    </row>
    <row r="154" spans="1:61" x14ac:dyDescent="0.25">
      <c r="A154" s="42" t="s">
        <v>433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0"/>
        <v>0</v>
      </c>
      <c r="BI154" s="47">
        <f t="shared" si="21"/>
        <v>0</v>
      </c>
    </row>
    <row r="155" spans="1:61" x14ac:dyDescent="0.25">
      <c r="A155" s="42" t="s">
        <v>383</v>
      </c>
      <c r="B155" s="42"/>
      <c r="C155" s="42" t="s">
        <v>64</v>
      </c>
      <c r="E155" s="6"/>
      <c r="F155" s="7">
        <v>2</v>
      </c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ref="BH155:BH158" si="22">SUM(E155:BF155)</f>
        <v>2</v>
      </c>
      <c r="BI155" s="47">
        <f t="shared" ref="BI155:BI158" si="23">(SUM(E155:BG155)*$D$2)</f>
        <v>0.6</v>
      </c>
    </row>
    <row r="156" spans="1:61" x14ac:dyDescent="0.25">
      <c r="A156" s="42" t="s">
        <v>442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2"/>
        <v>0</v>
      </c>
      <c r="BI156" s="47">
        <f t="shared" si="23"/>
        <v>0</v>
      </c>
    </row>
    <row r="157" spans="1:61" x14ac:dyDescent="0.25">
      <c r="A157" s="42" t="s">
        <v>443</v>
      </c>
      <c r="B157" s="42"/>
      <c r="C157" s="42" t="s">
        <v>64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22"/>
        <v>0</v>
      </c>
      <c r="BI157" s="47">
        <f t="shared" si="23"/>
        <v>0</v>
      </c>
    </row>
    <row r="158" spans="1:61" x14ac:dyDescent="0.25">
      <c r="A158" s="42" t="s">
        <v>450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2"/>
        <v>0</v>
      </c>
      <c r="BI158" s="47">
        <f t="shared" si="23"/>
        <v>0</v>
      </c>
    </row>
    <row r="159" spans="1:61" x14ac:dyDescent="0.25">
      <c r="A159" s="42" t="s">
        <v>455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20"/>
        <v>0</v>
      </c>
      <c r="BI159" s="47">
        <f t="shared" si="21"/>
        <v>0</v>
      </c>
    </row>
    <row r="160" spans="1:61" x14ac:dyDescent="0.25"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/>
      <c r="BI160" s="47"/>
    </row>
    <row r="161" spans="1:61" x14ac:dyDescent="0.25">
      <c r="A161" s="40" t="s">
        <v>279</v>
      </c>
      <c r="B161" s="41">
        <v>2</v>
      </c>
      <c r="C161" s="40" t="s">
        <v>66</v>
      </c>
      <c r="D161" t="s">
        <v>52</v>
      </c>
      <c r="E161" s="6"/>
      <c r="F161" s="7">
        <v>1</v>
      </c>
      <c r="G161" s="8"/>
      <c r="H161" s="9"/>
      <c r="J161" s="10"/>
      <c r="K161" s="11"/>
      <c r="L161" s="12"/>
      <c r="M161" s="13">
        <v>2</v>
      </c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0"/>
        <v>3</v>
      </c>
      <c r="BI161" s="47">
        <f t="shared" si="11"/>
        <v>0.89999999999999991</v>
      </c>
    </row>
    <row r="162" spans="1:61" x14ac:dyDescent="0.25">
      <c r="A162" s="40" t="s">
        <v>384</v>
      </c>
      <c r="B162" s="41">
        <v>2</v>
      </c>
      <c r="C162" s="40" t="s">
        <v>66</v>
      </c>
      <c r="D162" t="s">
        <v>52</v>
      </c>
      <c r="E162" s="6"/>
      <c r="F162" s="7"/>
      <c r="G162" s="8"/>
      <c r="H162" s="9"/>
      <c r="J162" s="10"/>
      <c r="K162" s="11"/>
      <c r="L162" s="12"/>
      <c r="M162" s="13">
        <v>2</v>
      </c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0"/>
        <v>2</v>
      </c>
      <c r="BI162" s="47">
        <f t="shared" si="11"/>
        <v>0.6</v>
      </c>
    </row>
    <row r="163" spans="1:61" x14ac:dyDescent="0.25">
      <c r="A163" s="40" t="s">
        <v>281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>
        <v>3</v>
      </c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0"/>
        <v>3</v>
      </c>
      <c r="BI163" s="47">
        <f t="shared" si="11"/>
        <v>0.89999999999999991</v>
      </c>
    </row>
    <row r="164" spans="1:61" x14ac:dyDescent="0.25">
      <c r="A164" s="40" t="s">
        <v>282</v>
      </c>
      <c r="B164" s="41">
        <v>2</v>
      </c>
      <c r="C164" s="40" t="s">
        <v>66</v>
      </c>
      <c r="D164" t="s">
        <v>52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>
        <v>3</v>
      </c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0"/>
        <v>3</v>
      </c>
      <c r="BI164" s="47">
        <f t="shared" si="11"/>
        <v>0.89999999999999991</v>
      </c>
    </row>
    <row r="165" spans="1:61" x14ac:dyDescent="0.25">
      <c r="A165" s="40" t="s">
        <v>215</v>
      </c>
      <c r="B165" s="41">
        <v>2</v>
      </c>
      <c r="C165" s="40" t="s">
        <v>66</v>
      </c>
      <c r="D165" t="s">
        <v>52</v>
      </c>
      <c r="E165" s="6">
        <v>4</v>
      </c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>
        <v>4</v>
      </c>
      <c r="V165" s="12">
        <v>2</v>
      </c>
      <c r="W165" s="13">
        <v>3</v>
      </c>
      <c r="Y165" s="6"/>
      <c r="Z165" s="7"/>
      <c r="AA165" s="8"/>
      <c r="AB165" s="9"/>
      <c r="AD165" s="10"/>
      <c r="AE165" s="11"/>
      <c r="AF165" s="12"/>
      <c r="AG165" s="13"/>
      <c r="AI165" s="6"/>
      <c r="AJ165" s="7">
        <v>4</v>
      </c>
      <c r="AK165" s="8">
        <v>2</v>
      </c>
      <c r="AL165" s="9">
        <v>3</v>
      </c>
      <c r="AN165" s="10"/>
      <c r="AO165" s="11"/>
      <c r="AP165" s="12">
        <v>3</v>
      </c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25</v>
      </c>
      <c r="BI165" s="47">
        <f t="shared" si="11"/>
        <v>7.5</v>
      </c>
    </row>
    <row r="166" spans="1:61" x14ac:dyDescent="0.25">
      <c r="A166" s="40" t="s">
        <v>327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0</v>
      </c>
      <c r="BI166" s="47">
        <f t="shared" si="11"/>
        <v>0</v>
      </c>
    </row>
    <row r="167" spans="1:61" x14ac:dyDescent="0.25">
      <c r="A167" s="40" t="s">
        <v>326</v>
      </c>
      <c r="B167" s="41">
        <v>10</v>
      </c>
      <c r="C167" s="40" t="s">
        <v>66</v>
      </c>
      <c r="D167" t="s">
        <v>59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0</v>
      </c>
      <c r="BI167" s="47">
        <f t="shared" si="11"/>
        <v>0</v>
      </c>
    </row>
    <row r="168" spans="1:61" x14ac:dyDescent="0.25">
      <c r="A168" s="40" t="s">
        <v>385</v>
      </c>
      <c r="B168" s="41">
        <v>10</v>
      </c>
      <c r="C168" s="40" t="s">
        <v>66</v>
      </c>
      <c r="D168" t="s">
        <v>59</v>
      </c>
      <c r="E168" s="6"/>
      <c r="F168" s="7"/>
      <c r="G168" s="8">
        <v>4</v>
      </c>
      <c r="H168" s="9"/>
      <c r="J168" s="10"/>
      <c r="K168" s="11"/>
      <c r="L168" s="12"/>
      <c r="M168" s="13"/>
      <c r="O168" s="6"/>
      <c r="P168" s="7">
        <v>6</v>
      </c>
      <c r="Q168" s="8">
        <v>5</v>
      </c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15</v>
      </c>
      <c r="BI168" s="47">
        <f t="shared" si="11"/>
        <v>4.5</v>
      </c>
    </row>
    <row r="169" spans="1:61" x14ac:dyDescent="0.25">
      <c r="A169" s="40" t="s">
        <v>325</v>
      </c>
      <c r="B169" s="41">
        <v>3</v>
      </c>
      <c r="C169" s="40" t="s">
        <v>66</v>
      </c>
      <c r="D169" t="s">
        <v>56</v>
      </c>
      <c r="E169" s="6">
        <v>3</v>
      </c>
      <c r="F169" s="7"/>
      <c r="G169" s="8"/>
      <c r="H169" s="9"/>
      <c r="J169" s="10"/>
      <c r="K169" s="11"/>
      <c r="L169" s="12"/>
      <c r="M169" s="13">
        <v>6</v>
      </c>
      <c r="O169" s="6"/>
      <c r="P169" s="7"/>
      <c r="Q169" s="8"/>
      <c r="R169" s="9"/>
      <c r="T169" s="10"/>
      <c r="U169" s="11"/>
      <c r="V169" s="12"/>
      <c r="W169" s="13">
        <v>4</v>
      </c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>
        <v>4</v>
      </c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17</v>
      </c>
      <c r="BI169" s="47">
        <f t="shared" si="11"/>
        <v>5.0999999999999996</v>
      </c>
    </row>
    <row r="170" spans="1:61" x14ac:dyDescent="0.25">
      <c r="A170" s="40" t="s">
        <v>386</v>
      </c>
      <c r="B170" s="41">
        <v>3</v>
      </c>
      <c r="C170" s="40" t="s">
        <v>66</v>
      </c>
      <c r="D170" t="s">
        <v>56</v>
      </c>
      <c r="E170" s="6"/>
      <c r="F170" s="7">
        <v>1</v>
      </c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0"/>
        <v>1</v>
      </c>
      <c r="BI170" s="47">
        <f t="shared" si="11"/>
        <v>0.3</v>
      </c>
    </row>
    <row r="171" spans="1:61" x14ac:dyDescent="0.25">
      <c r="A171" s="40" t="s">
        <v>323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0"/>
        <v>0</v>
      </c>
      <c r="BI171" s="47">
        <f t="shared" si="11"/>
        <v>0</v>
      </c>
    </row>
    <row r="172" spans="1:61" x14ac:dyDescent="0.25">
      <c r="A172" s="40" t="s">
        <v>322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0"/>
        <v>0</v>
      </c>
      <c r="BI172" s="47">
        <f t="shared" si="11"/>
        <v>0</v>
      </c>
    </row>
    <row r="173" spans="1:61" x14ac:dyDescent="0.25">
      <c r="A173" s="40" t="s">
        <v>321</v>
      </c>
      <c r="B173" s="41">
        <v>3</v>
      </c>
      <c r="C173" s="40" t="s">
        <v>66</v>
      </c>
      <c r="D173" t="s">
        <v>56</v>
      </c>
      <c r="E173" s="6"/>
      <c r="F173" s="7">
        <v>4</v>
      </c>
      <c r="G173" s="8"/>
      <c r="H173" s="9"/>
      <c r="J173" s="10"/>
      <c r="K173" s="11"/>
      <c r="L173" s="12">
        <v>6</v>
      </c>
      <c r="M173" s="13"/>
      <c r="O173" s="6"/>
      <c r="P173" s="7">
        <v>3</v>
      </c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ref="BH173:BH219" si="24">SUM(E173:BF173)</f>
        <v>13</v>
      </c>
      <c r="BI173" s="47">
        <f t="shared" ref="BI173:BI236" si="25">(SUM(E173:BG173)*$D$2)</f>
        <v>3.9</v>
      </c>
    </row>
    <row r="174" spans="1:61" x14ac:dyDescent="0.25">
      <c r="A174" s="40" t="s">
        <v>387</v>
      </c>
      <c r="B174" s="41">
        <v>3</v>
      </c>
      <c r="C174" s="40" t="s">
        <v>66</v>
      </c>
      <c r="D174" t="s">
        <v>56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ref="BH174" si="26">SUM(E174:BF174)</f>
        <v>0</v>
      </c>
      <c r="BI174" s="47">
        <f t="shared" ref="BI174" si="27">(SUM(E174:BG174)*$D$2)</f>
        <v>0</v>
      </c>
    </row>
    <row r="175" spans="1:61" x14ac:dyDescent="0.25">
      <c r="A175" s="40" t="s">
        <v>422</v>
      </c>
      <c r="B175" s="41">
        <v>3</v>
      </c>
      <c r="C175" s="40" t="s">
        <v>66</v>
      </c>
      <c r="D175" t="s">
        <v>56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4"/>
        <v>0</v>
      </c>
      <c r="BI175" s="47">
        <f t="shared" si="25"/>
        <v>0</v>
      </c>
    </row>
    <row r="176" spans="1:61" x14ac:dyDescent="0.25">
      <c r="A176" s="40" t="s">
        <v>319</v>
      </c>
      <c r="B176" s="41">
        <v>4</v>
      </c>
      <c r="C176" s="40" t="s">
        <v>66</v>
      </c>
      <c r="D176" t="s">
        <v>58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4"/>
        <v>0</v>
      </c>
      <c r="BI176" s="47">
        <f t="shared" si="25"/>
        <v>0</v>
      </c>
    </row>
    <row r="177" spans="1:61" x14ac:dyDescent="0.25">
      <c r="A177" s="40" t="s">
        <v>318</v>
      </c>
      <c r="B177" s="41">
        <v>4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4"/>
        <v>0</v>
      </c>
      <c r="BI177" s="47">
        <f t="shared" si="25"/>
        <v>0</v>
      </c>
    </row>
    <row r="178" spans="1:61" x14ac:dyDescent="0.25">
      <c r="A178" s="40" t="s">
        <v>317</v>
      </c>
      <c r="B178" s="41">
        <v>5</v>
      </c>
      <c r="C178" s="40" t="s">
        <v>66</v>
      </c>
      <c r="D178" t="s">
        <v>58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4"/>
        <v>0</v>
      </c>
      <c r="BI178" s="47">
        <f t="shared" si="25"/>
        <v>0</v>
      </c>
    </row>
    <row r="179" spans="1:61" x14ac:dyDescent="0.25">
      <c r="A179" s="40" t="s">
        <v>316</v>
      </c>
      <c r="B179" s="41">
        <v>5</v>
      </c>
      <c r="C179" s="40" t="s">
        <v>66</v>
      </c>
      <c r="D179" t="s">
        <v>58</v>
      </c>
      <c r="E179" s="6"/>
      <c r="F179" s="7">
        <v>4</v>
      </c>
      <c r="G179" s="8"/>
      <c r="H179" s="9"/>
      <c r="J179" s="10"/>
      <c r="K179" s="11">
        <v>6</v>
      </c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>
        <v>5</v>
      </c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15</v>
      </c>
      <c r="BI179" s="47">
        <f t="shared" si="25"/>
        <v>4.5</v>
      </c>
    </row>
    <row r="180" spans="1:61" x14ac:dyDescent="0.25">
      <c r="A180" s="40" t="s">
        <v>424</v>
      </c>
      <c r="B180" s="41">
        <v>5</v>
      </c>
      <c r="C180" s="40" t="s">
        <v>66</v>
      </c>
      <c r="D180" t="s">
        <v>58</v>
      </c>
      <c r="E180" s="6"/>
      <c r="F180" s="7"/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0</v>
      </c>
      <c r="BI180" s="47">
        <f t="shared" si="25"/>
        <v>0</v>
      </c>
    </row>
    <row r="181" spans="1:61" x14ac:dyDescent="0.25">
      <c r="A181" s="40" t="s">
        <v>315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0</v>
      </c>
      <c r="BI181" s="47">
        <f t="shared" si="25"/>
        <v>0</v>
      </c>
    </row>
    <row r="182" spans="1:61" x14ac:dyDescent="0.25">
      <c r="A182" s="40" t="s">
        <v>314</v>
      </c>
      <c r="B182" s="41">
        <v>4</v>
      </c>
      <c r="C182" s="40" t="s">
        <v>66</v>
      </c>
      <c r="D182" t="s">
        <v>55</v>
      </c>
      <c r="E182" s="6"/>
      <c r="F182" s="7">
        <v>1</v>
      </c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1</v>
      </c>
      <c r="BI182" s="47">
        <f t="shared" si="25"/>
        <v>0.3</v>
      </c>
    </row>
    <row r="183" spans="1:61" x14ac:dyDescent="0.25">
      <c r="A183" s="40" t="s">
        <v>313</v>
      </c>
      <c r="B183" s="41">
        <v>4</v>
      </c>
      <c r="C183" s="40" t="s">
        <v>66</v>
      </c>
      <c r="D183" t="s">
        <v>55</v>
      </c>
      <c r="E183" s="6"/>
      <c r="F183" s="7">
        <v>2</v>
      </c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2</v>
      </c>
      <c r="BI183" s="47">
        <f t="shared" si="25"/>
        <v>0.6</v>
      </c>
    </row>
    <row r="184" spans="1:61" x14ac:dyDescent="0.25">
      <c r="A184" s="40" t="s">
        <v>388</v>
      </c>
      <c r="B184" s="41">
        <v>4</v>
      </c>
      <c r="C184" s="40" t="s">
        <v>66</v>
      </c>
      <c r="D184" t="s">
        <v>55</v>
      </c>
      <c r="E184" s="6"/>
      <c r="F184" s="7">
        <v>2</v>
      </c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2</v>
      </c>
      <c r="BI184" s="47">
        <f t="shared" si="25"/>
        <v>0.6</v>
      </c>
    </row>
    <row r="185" spans="1:61" x14ac:dyDescent="0.25">
      <c r="A185" s="40" t="s">
        <v>311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25">
      <c r="A186" s="40" t="s">
        <v>310</v>
      </c>
      <c r="B186" s="41">
        <v>4</v>
      </c>
      <c r="C186" s="40" t="s">
        <v>66</v>
      </c>
      <c r="D186" t="s">
        <v>55</v>
      </c>
      <c r="E186" s="6"/>
      <c r="F186" s="7"/>
      <c r="G186" s="8"/>
      <c r="H186" s="9"/>
      <c r="J186" s="10"/>
      <c r="K186" s="11"/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0</v>
      </c>
      <c r="BI186" s="47">
        <f t="shared" si="25"/>
        <v>0</v>
      </c>
    </row>
    <row r="187" spans="1:61" x14ac:dyDescent="0.25">
      <c r="A187" s="40" t="s">
        <v>309</v>
      </c>
      <c r="B187" s="41">
        <v>4</v>
      </c>
      <c r="C187" s="40" t="s">
        <v>66</v>
      </c>
      <c r="D187" t="s">
        <v>55</v>
      </c>
      <c r="E187" s="6"/>
      <c r="F187" s="7">
        <v>2</v>
      </c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2</v>
      </c>
      <c r="BI187" s="47">
        <f t="shared" si="25"/>
        <v>0.6</v>
      </c>
    </row>
    <row r="188" spans="1:61" x14ac:dyDescent="0.25">
      <c r="A188" s="40" t="s">
        <v>389</v>
      </c>
      <c r="B188" s="41">
        <v>4</v>
      </c>
      <c r="C188" s="40" t="s">
        <v>66</v>
      </c>
      <c r="D188" t="s">
        <v>55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0</v>
      </c>
      <c r="BI188" s="47">
        <f t="shared" si="25"/>
        <v>0</v>
      </c>
    </row>
    <row r="189" spans="1:61" x14ac:dyDescent="0.25">
      <c r="A189" s="40" t="s">
        <v>307</v>
      </c>
      <c r="B189" s="41">
        <v>6</v>
      </c>
      <c r="C189" s="40" t="s">
        <v>66</v>
      </c>
      <c r="D189" t="s">
        <v>50</v>
      </c>
      <c r="E189" s="6"/>
      <c r="F189" s="7">
        <v>5</v>
      </c>
      <c r="G189" s="8"/>
      <c r="H189" s="9"/>
      <c r="J189" s="10"/>
      <c r="K189" s="11">
        <v>7</v>
      </c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12</v>
      </c>
      <c r="BI189" s="47">
        <f t="shared" si="25"/>
        <v>3.5999999999999996</v>
      </c>
    </row>
    <row r="190" spans="1:61" x14ac:dyDescent="0.25">
      <c r="A190" s="40" t="s">
        <v>306</v>
      </c>
      <c r="B190" s="41">
        <v>6</v>
      </c>
      <c r="C190" s="40" t="s">
        <v>66</v>
      </c>
      <c r="D190" t="s">
        <v>50</v>
      </c>
      <c r="E190" s="6"/>
      <c r="F190" s="7"/>
      <c r="G190" s="8"/>
      <c r="H190" s="9"/>
      <c r="J190" s="10"/>
      <c r="K190" s="11"/>
      <c r="L190" s="12"/>
      <c r="M190" s="13"/>
      <c r="O190" s="6"/>
      <c r="P190" s="7"/>
      <c r="Q190" s="8">
        <v>5</v>
      </c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>
        <v>2</v>
      </c>
      <c r="AN190" s="10"/>
      <c r="AO190" s="11"/>
      <c r="AP190" s="12">
        <v>4</v>
      </c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11</v>
      </c>
      <c r="BI190" s="47">
        <f t="shared" si="25"/>
        <v>3.3</v>
      </c>
    </row>
    <row r="191" spans="1:61" x14ac:dyDescent="0.25">
      <c r="A191" s="40" t="s">
        <v>305</v>
      </c>
      <c r="B191" s="41">
        <v>6</v>
      </c>
      <c r="C191" s="40" t="s">
        <v>66</v>
      </c>
      <c r="D191" t="s">
        <v>51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0</v>
      </c>
      <c r="BI191" s="47">
        <f t="shared" si="25"/>
        <v>0</v>
      </c>
    </row>
    <row r="192" spans="1:61" x14ac:dyDescent="0.25">
      <c r="A192" s="40" t="s">
        <v>304</v>
      </c>
      <c r="B192" s="41">
        <v>6</v>
      </c>
      <c r="C192" s="40" t="s">
        <v>66</v>
      </c>
      <c r="D192" t="s">
        <v>51</v>
      </c>
      <c r="E192" s="6"/>
      <c r="F192" s="7"/>
      <c r="G192" s="8"/>
      <c r="H192" s="9"/>
      <c r="J192" s="10"/>
      <c r="K192" s="11"/>
      <c r="L192" s="12"/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0</v>
      </c>
      <c r="BI192" s="47">
        <f t="shared" si="25"/>
        <v>0</v>
      </c>
    </row>
    <row r="193" spans="1:61" x14ac:dyDescent="0.25">
      <c r="A193" s="40" t="s">
        <v>303</v>
      </c>
      <c r="B193" s="41">
        <v>6</v>
      </c>
      <c r="C193" s="40" t="s">
        <v>66</v>
      </c>
      <c r="D193" t="s">
        <v>51</v>
      </c>
      <c r="E193" s="6"/>
      <c r="F193" s="7">
        <v>2</v>
      </c>
      <c r="G193" s="8"/>
      <c r="H193" s="9"/>
      <c r="J193" s="10"/>
      <c r="K193" s="11"/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2</v>
      </c>
      <c r="BI193" s="47">
        <f t="shared" si="25"/>
        <v>0.6</v>
      </c>
    </row>
    <row r="194" spans="1:61" x14ac:dyDescent="0.25">
      <c r="A194" s="40" t="s">
        <v>302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0</v>
      </c>
      <c r="BI194" s="47">
        <f t="shared" si="25"/>
        <v>0</v>
      </c>
    </row>
    <row r="195" spans="1:61" x14ac:dyDescent="0.25">
      <c r="A195" s="40" t="s">
        <v>390</v>
      </c>
      <c r="B195" s="41">
        <v>8</v>
      </c>
      <c r="C195" s="40" t="s">
        <v>66</v>
      </c>
      <c r="D195" t="s">
        <v>57</v>
      </c>
      <c r="E195" s="6">
        <v>3</v>
      </c>
      <c r="F195" s="7">
        <v>3</v>
      </c>
      <c r="G195" s="8">
        <v>3</v>
      </c>
      <c r="H195" s="9"/>
      <c r="J195" s="10">
        <v>3</v>
      </c>
      <c r="K195" s="11">
        <v>4</v>
      </c>
      <c r="L195" s="12">
        <v>4</v>
      </c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>
        <v>3</v>
      </c>
      <c r="AI195" s="6"/>
      <c r="AJ195" s="7"/>
      <c r="AK195" s="8"/>
      <c r="AL195" s="9"/>
      <c r="AN195" s="10">
        <v>2</v>
      </c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25</v>
      </c>
      <c r="BI195" s="47">
        <f t="shared" si="25"/>
        <v>7.5</v>
      </c>
    </row>
    <row r="196" spans="1:61" x14ac:dyDescent="0.25">
      <c r="A196" s="40" t="s">
        <v>391</v>
      </c>
      <c r="B196" s="41">
        <v>8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25">
      <c r="A197" s="40" t="s">
        <v>392</v>
      </c>
      <c r="B197" s="41">
        <v>8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0</v>
      </c>
      <c r="BI197" s="47">
        <f t="shared" si="25"/>
        <v>0</v>
      </c>
    </row>
    <row r="198" spans="1:61" x14ac:dyDescent="0.25">
      <c r="A198" s="40" t="s">
        <v>393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394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0</v>
      </c>
      <c r="BI199" s="47">
        <f t="shared" si="25"/>
        <v>0</v>
      </c>
    </row>
    <row r="200" spans="1:61" x14ac:dyDescent="0.25">
      <c r="A200" s="40" t="s">
        <v>395</v>
      </c>
      <c r="B200" s="41">
        <v>9</v>
      </c>
      <c r="C200" s="40" t="s">
        <v>66</v>
      </c>
      <c r="D200" t="s">
        <v>57</v>
      </c>
      <c r="E200" s="6"/>
      <c r="F200" s="7">
        <v>5</v>
      </c>
      <c r="G200" s="8"/>
      <c r="H200" s="9"/>
      <c r="J200" s="10"/>
      <c r="K200" s="11"/>
      <c r="L200" s="12">
        <v>1</v>
      </c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4"/>
        <v>6</v>
      </c>
      <c r="BI200" s="47">
        <f t="shared" si="25"/>
        <v>1.7999999999999998</v>
      </c>
    </row>
    <row r="201" spans="1:61" x14ac:dyDescent="0.25">
      <c r="A201" s="40" t="s">
        <v>396</v>
      </c>
      <c r="B201" s="41">
        <v>9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0</v>
      </c>
      <c r="BI201" s="47">
        <f t="shared" si="25"/>
        <v>0</v>
      </c>
    </row>
    <row r="202" spans="1:61" x14ac:dyDescent="0.25">
      <c r="A202" s="40" t="s">
        <v>397</v>
      </c>
      <c r="B202" s="41">
        <v>9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294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ref="BH203" si="28">SUM(E203:BF203)</f>
        <v>0</v>
      </c>
      <c r="BI203" s="47">
        <f t="shared" ref="BI203" si="29">(SUM(E203:BG203)*$D$2)</f>
        <v>0</v>
      </c>
    </row>
    <row r="204" spans="1:61" x14ac:dyDescent="0.25">
      <c r="A204" s="40" t="s">
        <v>353</v>
      </c>
      <c r="B204" s="41">
        <v>1</v>
      </c>
      <c r="C204" s="40" t="s">
        <v>66</v>
      </c>
      <c r="D204" t="s">
        <v>62</v>
      </c>
      <c r="E204" s="6"/>
      <c r="F204" s="7">
        <v>3</v>
      </c>
      <c r="G204" s="8"/>
      <c r="H204" s="9"/>
      <c r="J204" s="10"/>
      <c r="K204" s="11"/>
      <c r="L204" s="12"/>
      <c r="M204" s="13"/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4"/>
        <v>3</v>
      </c>
      <c r="BI204" s="47">
        <f t="shared" si="25"/>
        <v>0.89999999999999991</v>
      </c>
    </row>
    <row r="205" spans="1:61" x14ac:dyDescent="0.25">
      <c r="A205" s="40" t="s">
        <v>293</v>
      </c>
      <c r="B205" s="41">
        <v>1</v>
      </c>
      <c r="C205" s="40" t="s">
        <v>66</v>
      </c>
      <c r="D205" t="s">
        <v>62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4"/>
        <v>0</v>
      </c>
      <c r="BI205" s="47">
        <f t="shared" si="25"/>
        <v>0</v>
      </c>
    </row>
    <row r="206" spans="1:61" x14ac:dyDescent="0.25">
      <c r="A206" s="40" t="s">
        <v>398</v>
      </c>
      <c r="B206" s="41">
        <v>1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0</v>
      </c>
      <c r="BI206" s="47">
        <f t="shared" si="25"/>
        <v>0</v>
      </c>
    </row>
    <row r="207" spans="1:61" x14ac:dyDescent="0.25">
      <c r="A207" s="40" t="s">
        <v>399</v>
      </c>
      <c r="B207" s="41">
        <v>1</v>
      </c>
      <c r="C207" s="40" t="s">
        <v>66</v>
      </c>
      <c r="D207" t="s">
        <v>62</v>
      </c>
      <c r="E207" s="6"/>
      <c r="F207" s="7">
        <v>4</v>
      </c>
      <c r="G207" s="8">
        <v>1</v>
      </c>
      <c r="H207" s="9"/>
      <c r="J207" s="10"/>
      <c r="K207" s="11"/>
      <c r="L207" s="12"/>
      <c r="M207" s="13">
        <v>3</v>
      </c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>SUM(E207:BF207)</f>
        <v>8</v>
      </c>
      <c r="BI207" s="47">
        <f>(SUM(E207:BG207)*$D$2)</f>
        <v>2.4</v>
      </c>
    </row>
    <row r="208" spans="1:61" x14ac:dyDescent="0.25">
      <c r="A208" s="40" t="s">
        <v>351</v>
      </c>
      <c r="B208" s="41">
        <v>1</v>
      </c>
      <c r="C208" s="40" t="s">
        <v>66</v>
      </c>
      <c r="D208" t="s">
        <v>62</v>
      </c>
      <c r="E208" s="6"/>
      <c r="F208" s="7">
        <v>4</v>
      </c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>SUM(E208:BF208)</f>
        <v>4</v>
      </c>
      <c r="BI208" s="47">
        <f>(SUM(E208:BG208)*$D$2)</f>
        <v>1.2</v>
      </c>
    </row>
    <row r="209" spans="1:61" x14ac:dyDescent="0.25">
      <c r="A209" s="40" t="s">
        <v>291</v>
      </c>
      <c r="B209" s="40" t="s">
        <v>53</v>
      </c>
      <c r="C209" s="40" t="s">
        <v>66</v>
      </c>
      <c r="D209" t="s">
        <v>62</v>
      </c>
      <c r="E209" s="6"/>
      <c r="F209" s="7">
        <v>1</v>
      </c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1</v>
      </c>
      <c r="BI209" s="47">
        <f t="shared" si="25"/>
        <v>0.3</v>
      </c>
    </row>
    <row r="210" spans="1:61" x14ac:dyDescent="0.25">
      <c r="A210" s="40" t="s">
        <v>290</v>
      </c>
      <c r="B210" s="40" t="s">
        <v>53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>
        <v>3</v>
      </c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4"/>
        <v>3</v>
      </c>
      <c r="BI210" s="47">
        <f t="shared" si="25"/>
        <v>0.89999999999999991</v>
      </c>
    </row>
    <row r="211" spans="1:61" x14ac:dyDescent="0.25">
      <c r="A211" s="40" t="s">
        <v>289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>
        <v>1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4"/>
        <v>1</v>
      </c>
      <c r="BI211" s="47">
        <f t="shared" si="25"/>
        <v>0.3</v>
      </c>
    </row>
    <row r="212" spans="1:61" x14ac:dyDescent="0.25">
      <c r="A212" s="40" t="s">
        <v>400</v>
      </c>
      <c r="B212" s="40" t="s">
        <v>53</v>
      </c>
      <c r="C212" s="40" t="s">
        <v>66</v>
      </c>
      <c r="D212" t="s">
        <v>54</v>
      </c>
      <c r="E212" s="6"/>
      <c r="F212" s="7"/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4"/>
        <v>0</v>
      </c>
      <c r="BI212" s="47">
        <f t="shared" si="25"/>
        <v>0</v>
      </c>
    </row>
    <row r="213" spans="1:61" x14ac:dyDescent="0.25">
      <c r="A213" s="40" t="s">
        <v>401</v>
      </c>
      <c r="B213" s="40" t="s">
        <v>53</v>
      </c>
      <c r="C213" s="40" t="s">
        <v>66</v>
      </c>
      <c r="D213" t="s">
        <v>54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>
        <v>2</v>
      </c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>
        <v>2</v>
      </c>
      <c r="AK213" s="8"/>
      <c r="AL213" s="9">
        <v>4</v>
      </c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ref="BH213" si="30">SUM(E213:BF213)</f>
        <v>8</v>
      </c>
      <c r="BI213" s="47">
        <f t="shared" ref="BI213" si="31">(SUM(E213:BG213)*$D$2)</f>
        <v>2.4</v>
      </c>
    </row>
    <row r="214" spans="1:61" x14ac:dyDescent="0.25">
      <c r="A214" s="40" t="s">
        <v>403</v>
      </c>
      <c r="B214" s="40" t="s">
        <v>53</v>
      </c>
      <c r="C214" s="40" t="s">
        <v>66</v>
      </c>
      <c r="D214" t="s">
        <v>54</v>
      </c>
      <c r="E214" s="6"/>
      <c r="F214" s="7"/>
      <c r="G214" s="8"/>
      <c r="H214" s="9"/>
      <c r="J214" s="10"/>
      <c r="K214" s="11"/>
      <c r="L214" s="12"/>
      <c r="M214" s="13">
        <v>3</v>
      </c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3</v>
      </c>
      <c r="BI214" s="47">
        <f t="shared" si="25"/>
        <v>0.89999999999999991</v>
      </c>
    </row>
    <row r="215" spans="1:61" x14ac:dyDescent="0.25">
      <c r="A215" s="40" t="s">
        <v>402</v>
      </c>
      <c r="B215" s="40">
        <v>7</v>
      </c>
      <c r="C215" s="40" t="s">
        <v>66</v>
      </c>
      <c r="E215" s="6">
        <v>7</v>
      </c>
      <c r="F215" s="7">
        <v>8</v>
      </c>
      <c r="G215" s="8">
        <v>6</v>
      </c>
      <c r="H215" s="9"/>
      <c r="J215" s="10">
        <v>5</v>
      </c>
      <c r="K215" s="11"/>
      <c r="L215" s="12">
        <v>6</v>
      </c>
      <c r="M215" s="13"/>
      <c r="O215" s="6"/>
      <c r="P215" s="7"/>
      <c r="Q215" s="8"/>
      <c r="R215" s="9"/>
      <c r="T215" s="10"/>
      <c r="U215" s="11">
        <v>7</v>
      </c>
      <c r="V215" s="12">
        <v>7</v>
      </c>
      <c r="W215" s="13">
        <v>5</v>
      </c>
      <c r="Y215" s="6"/>
      <c r="Z215" s="7"/>
      <c r="AA215" s="8"/>
      <c r="AB215" s="9"/>
      <c r="AD215" s="10"/>
      <c r="AE215" s="11"/>
      <c r="AF215" s="12"/>
      <c r="AG215" s="13">
        <v>5</v>
      </c>
      <c r="AI215" s="6"/>
      <c r="AJ215" s="7">
        <v>7</v>
      </c>
      <c r="AK215" s="8">
        <v>7</v>
      </c>
      <c r="AL215" s="9">
        <v>5</v>
      </c>
      <c r="AN215" s="10">
        <v>5</v>
      </c>
      <c r="AO215" s="11"/>
      <c r="AP215" s="12">
        <v>7</v>
      </c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87</v>
      </c>
      <c r="BI215" s="47">
        <f t="shared" si="25"/>
        <v>26.099999999999998</v>
      </c>
    </row>
    <row r="216" spans="1:61" x14ac:dyDescent="0.25">
      <c r="A216" s="40" t="s">
        <v>257</v>
      </c>
      <c r="B216" s="40">
        <v>7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25">
      <c r="A217" s="40" t="s">
        <v>404</v>
      </c>
      <c r="B217" s="40">
        <v>7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4"/>
        <v>0</v>
      </c>
      <c r="BI217" s="47">
        <f t="shared" si="25"/>
        <v>0</v>
      </c>
    </row>
    <row r="218" spans="1:61" x14ac:dyDescent="0.25">
      <c r="A218" s="40" t="s">
        <v>405</v>
      </c>
      <c r="B218" s="40">
        <v>7</v>
      </c>
      <c r="C218" s="40" t="s">
        <v>66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>
        <v>2</v>
      </c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4"/>
        <v>2</v>
      </c>
      <c r="BI218" s="47">
        <f t="shared" si="25"/>
        <v>0.6</v>
      </c>
    </row>
    <row r="219" spans="1:61" x14ac:dyDescent="0.25">
      <c r="A219" s="40" t="s">
        <v>406</v>
      </c>
      <c r="B219" s="40">
        <v>8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/>
      <c r="T219" s="10"/>
      <c r="U219" s="11"/>
      <c r="V219" s="12"/>
      <c r="W219" s="13"/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4"/>
        <v>0</v>
      </c>
      <c r="BI219" s="47">
        <f t="shared" si="25"/>
        <v>0</v>
      </c>
    </row>
    <row r="220" spans="1:61" x14ac:dyDescent="0.25">
      <c r="A220" s="40" t="s">
        <v>407</v>
      </c>
      <c r="B220" s="40">
        <v>8</v>
      </c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ref="BH220:BH236" si="32">SUM(E220:BF220)</f>
        <v>0</v>
      </c>
      <c r="BI220" s="47">
        <f t="shared" si="25"/>
        <v>0</v>
      </c>
    </row>
    <row r="221" spans="1:61" x14ac:dyDescent="0.25">
      <c r="A221" s="40" t="s">
        <v>352</v>
      </c>
      <c r="B221" s="40">
        <v>4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32"/>
        <v>0</v>
      </c>
      <c r="BI221" s="47">
        <f t="shared" si="25"/>
        <v>0</v>
      </c>
    </row>
    <row r="222" spans="1:61" x14ac:dyDescent="0.25">
      <c r="A222" s="40" t="s">
        <v>417</v>
      </c>
      <c r="B222" s="40">
        <v>6</v>
      </c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32"/>
        <v>0</v>
      </c>
      <c r="BI222" s="47">
        <f t="shared" si="25"/>
        <v>0</v>
      </c>
    </row>
    <row r="223" spans="1:61" x14ac:dyDescent="0.25">
      <c r="A223" s="40" t="s">
        <v>421</v>
      </c>
      <c r="B223" s="40"/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32"/>
        <v>0</v>
      </c>
      <c r="BI223" s="47">
        <f t="shared" si="25"/>
        <v>0</v>
      </c>
    </row>
    <row r="224" spans="1:61" x14ac:dyDescent="0.25">
      <c r="A224" s="40" t="s">
        <v>423</v>
      </c>
      <c r="B224" s="40">
        <v>4</v>
      </c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32"/>
        <v>0</v>
      </c>
      <c r="BI224" s="47">
        <f t="shared" si="25"/>
        <v>0</v>
      </c>
    </row>
    <row r="225" spans="1:61" x14ac:dyDescent="0.25">
      <c r="A225" s="40" t="s">
        <v>434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435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440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436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437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438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25">
      <c r="A231" s="40" t="s">
        <v>439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  <row r="232" spans="1:61" x14ac:dyDescent="0.25">
      <c r="A232" s="40" t="s">
        <v>441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/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32"/>
        <v>0</v>
      </c>
      <c r="BI232" s="47">
        <f t="shared" si="25"/>
        <v>0</v>
      </c>
    </row>
    <row r="233" spans="1:61" x14ac:dyDescent="0.25">
      <c r="A233" s="40" t="s">
        <v>216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/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32"/>
        <v>0</v>
      </c>
      <c r="BI233" s="47">
        <f t="shared" si="25"/>
        <v>0</v>
      </c>
    </row>
    <row r="234" spans="1:61" x14ac:dyDescent="0.25">
      <c r="A234" s="40" t="s">
        <v>408</v>
      </c>
      <c r="B234" s="40">
        <v>4</v>
      </c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/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ref="BH234:BH235" si="33">SUM(E234:BF234)</f>
        <v>0</v>
      </c>
      <c r="BI234" s="47">
        <f t="shared" ref="BI234:BI235" si="34">(SUM(E234:BG234)*$D$2)</f>
        <v>0</v>
      </c>
    </row>
    <row r="235" spans="1:61" x14ac:dyDescent="0.25">
      <c r="A235" s="40" t="s">
        <v>453</v>
      </c>
      <c r="B235" s="40">
        <v>4</v>
      </c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/>
      <c r="T235" s="10"/>
      <c r="U235" s="11"/>
      <c r="V235" s="12"/>
      <c r="W235" s="13"/>
      <c r="Y235" s="6"/>
      <c r="Z235" s="7"/>
      <c r="AA235" s="8"/>
      <c r="AB235" s="9"/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33"/>
        <v>0</v>
      </c>
      <c r="BI235" s="47">
        <f t="shared" si="34"/>
        <v>0</v>
      </c>
    </row>
    <row r="236" spans="1:61" x14ac:dyDescent="0.25">
      <c r="A236" s="40" t="s">
        <v>454</v>
      </c>
      <c r="B236" s="40">
        <v>4</v>
      </c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/>
      <c r="T236" s="10"/>
      <c r="U236" s="11"/>
      <c r="V236" s="12"/>
      <c r="W236" s="13"/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32"/>
        <v>0</v>
      </c>
      <c r="BI236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37" workbookViewId="0">
      <selection activeCell="A6" sqref="A6:XFD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39"/>
  <sheetViews>
    <sheetView topLeftCell="A205" workbookViewId="0">
      <pane xSplit="1" topLeftCell="B1" activePane="topRight" state="frozen"/>
      <selection pane="topRight" activeCell="A215" sqref="A215:XFD215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>
        <v>3</v>
      </c>
      <c r="AA9" s="8">
        <v>3</v>
      </c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30</v>
      </c>
      <c r="BI9" s="47">
        <f t="shared" si="1"/>
        <v>9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>
        <v>3</v>
      </c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7" si="2">SUM(E10:BF10)</f>
        <v>7</v>
      </c>
      <c r="BI10" s="47">
        <f t="shared" ref="BI10:BI87" si="3">(SUM(E10:BG10)*$D$2)</f>
        <v>2.1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17</v>
      </c>
      <c r="BI12" s="47">
        <f t="shared" si="3"/>
        <v>5.0999999999999996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4</v>
      </c>
      <c r="BI16" s="47">
        <f t="shared" si="3"/>
        <v>1.2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>
        <v>1</v>
      </c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7</v>
      </c>
      <c r="BI18" s="47">
        <f t="shared" si="3"/>
        <v>2.1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>
        <v>6</v>
      </c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23</v>
      </c>
      <c r="BI23" s="47">
        <f t="shared" si="3"/>
        <v>6.8999999999999995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>
        <v>2</v>
      </c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18</v>
      </c>
      <c r="BI24" s="47">
        <f t="shared" si="3"/>
        <v>5.3999999999999995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>
        <v>4</v>
      </c>
      <c r="AA25" s="8"/>
      <c r="AB25" s="9">
        <v>6</v>
      </c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56</v>
      </c>
      <c r="BI25" s="47">
        <f t="shared" si="3"/>
        <v>16.8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19</v>
      </c>
      <c r="BI26" s="47">
        <f t="shared" si="3"/>
        <v>5.7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>
        <v>8</v>
      </c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50</v>
      </c>
      <c r="BI27" s="47">
        <f t="shared" si="3"/>
        <v>15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>
        <v>3</v>
      </c>
      <c r="AA28" s="8"/>
      <c r="AB28" s="9">
        <v>6</v>
      </c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57</v>
      </c>
      <c r="BI28" s="47">
        <f t="shared" si="3"/>
        <v>17.099999999999998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3</v>
      </c>
      <c r="BI29" s="47">
        <f t="shared" ref="BI29" si="5">(SUM(E29:BG29)*$D$2)</f>
        <v>0.89999999999999991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>
        <v>2</v>
      </c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13</v>
      </c>
      <c r="BI30" s="47">
        <f t="shared" si="3"/>
        <v>3.9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>
        <v>7</v>
      </c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31</v>
      </c>
      <c r="BI31" s="47">
        <f t="shared" si="3"/>
        <v>9.2999999999999989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>
        <v>4</v>
      </c>
      <c r="AA32" s="8">
        <v>3</v>
      </c>
      <c r="AB32" s="9">
        <v>13</v>
      </c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47</v>
      </c>
      <c r="BI32" s="47">
        <f t="shared" si="3"/>
        <v>14.1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>
        <v>8</v>
      </c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54</v>
      </c>
      <c r="BI33" s="47">
        <f t="shared" si="3"/>
        <v>16.2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>
        <v>6</v>
      </c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43</v>
      </c>
      <c r="BI34" s="47">
        <f t="shared" si="3"/>
        <v>12.9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>
        <v>5</v>
      </c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26</v>
      </c>
      <c r="BI35" s="47">
        <f t="shared" si="3"/>
        <v>7.8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>
        <v>5</v>
      </c>
      <c r="AA36" s="8">
        <v>5</v>
      </c>
      <c r="AB36" s="9">
        <v>4</v>
      </c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31</v>
      </c>
      <c r="BI36" s="47">
        <f t="shared" si="3"/>
        <v>9.2999999999999989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13</v>
      </c>
      <c r="BI37" s="47">
        <f t="shared" si="3"/>
        <v>3.9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>
        <v>1</v>
      </c>
      <c r="AB38" s="9">
        <v>4</v>
      </c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20</v>
      </c>
      <c r="BI38" s="47">
        <f t="shared" si="3"/>
        <v>6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>
        <v>1</v>
      </c>
      <c r="AA39" s="8"/>
      <c r="AB39" s="9">
        <v>8</v>
      </c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29</v>
      </c>
      <c r="BI39" s="47">
        <f t="shared" si="3"/>
        <v>8.6999999999999993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>
        <v>5</v>
      </c>
      <c r="AA40" s="8"/>
      <c r="AB40" s="9">
        <v>4</v>
      </c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33</v>
      </c>
      <c r="BI40" s="47">
        <f t="shared" si="3"/>
        <v>9.9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>
        <v>1</v>
      </c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48</v>
      </c>
      <c r="BI41" s="47">
        <f t="shared" si="3"/>
        <v>14.399999999999999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>
        <v>4</v>
      </c>
      <c r="AA42" s="8"/>
      <c r="AB42" s="9">
        <v>6</v>
      </c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30</v>
      </c>
      <c r="BI42" s="47">
        <f t="shared" si="3"/>
        <v>9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>
        <v>2</v>
      </c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5</v>
      </c>
      <c r="BI43" s="47">
        <f t="shared" si="3"/>
        <v>1.5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>
        <v>4</v>
      </c>
      <c r="AA44" s="8">
        <v>5</v>
      </c>
      <c r="AB44" s="9">
        <v>7</v>
      </c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68</v>
      </c>
      <c r="BI44" s="47">
        <f t="shared" si="3"/>
        <v>20.399999999999999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>
        <v>6</v>
      </c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21</v>
      </c>
      <c r="BI46" s="47">
        <f t="shared" si="3"/>
        <v>6.3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>
        <v>4</v>
      </c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26</v>
      </c>
      <c r="BI47" s="47">
        <f t="shared" si="3"/>
        <v>7.8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>
        <v>1</v>
      </c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20</v>
      </c>
      <c r="BI48" s="47">
        <f t="shared" si="3"/>
        <v>6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>
        <v>3</v>
      </c>
      <c r="AB49" s="9">
        <v>6</v>
      </c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53</v>
      </c>
      <c r="BI49" s="47">
        <f t="shared" si="3"/>
        <v>15.899999999999999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>
        <v>4</v>
      </c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8</v>
      </c>
      <c r="BI50" s="47">
        <f t="shared" si="3"/>
        <v>2.4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>
        <v>1</v>
      </c>
      <c r="AB52" s="9">
        <v>1</v>
      </c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2</v>
      </c>
      <c r="BI52" s="47">
        <f t="shared" si="3"/>
        <v>0.6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>
        <v>8</v>
      </c>
      <c r="AA55" s="8">
        <v>3</v>
      </c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127</v>
      </c>
      <c r="BI55" s="47">
        <f t="shared" si="3"/>
        <v>38.1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>
        <v>3</v>
      </c>
      <c r="AB56" s="9">
        <v>5</v>
      </c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79</v>
      </c>
      <c r="BI56" s="47">
        <f t="shared" si="3"/>
        <v>23.7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>
        <v>1</v>
      </c>
      <c r="AA57" s="8">
        <v>4</v>
      </c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29</v>
      </c>
      <c r="BI57" s="47">
        <f t="shared" si="3"/>
        <v>8.6999999999999993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>
        <v>1</v>
      </c>
      <c r="AA58" s="8"/>
      <c r="AB58" s="9">
        <v>5</v>
      </c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26</v>
      </c>
      <c r="BI58" s="47">
        <f t="shared" si="3"/>
        <v>7.8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>
        <v>1</v>
      </c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1</v>
      </c>
      <c r="BI60" s="47">
        <f t="shared" si="3"/>
        <v>0.3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>
        <v>2</v>
      </c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13</v>
      </c>
      <c r="BI61" s="47">
        <f t="shared" si="3"/>
        <v>3.9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>
        <v>5</v>
      </c>
      <c r="AA64" s="8">
        <v>2</v>
      </c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31</v>
      </c>
      <c r="BI64" s="47">
        <f t="shared" si="3"/>
        <v>9.2999999999999989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13</v>
      </c>
      <c r="BI65" s="47">
        <f t="shared" si="3"/>
        <v>3.9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>
        <v>1</v>
      </c>
      <c r="AA66" s="8">
        <v>1</v>
      </c>
      <c r="AB66" s="9">
        <v>3</v>
      </c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11</v>
      </c>
      <c r="BI66" s="47">
        <f t="shared" ref="BI66:BI67" si="7">(SUM(E66:BG66)*$D$2)</f>
        <v>3.3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>
        <v>1</v>
      </c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11</v>
      </c>
      <c r="BI67" s="47">
        <f t="shared" si="7"/>
        <v>3.3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>
        <v>2</v>
      </c>
      <c r="AA68" s="8">
        <v>4</v>
      </c>
      <c r="AB68" s="9">
        <v>2</v>
      </c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29</v>
      </c>
      <c r="BI68" s="47">
        <f t="shared" si="3"/>
        <v>8.6999999999999993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>
        <v>2</v>
      </c>
      <c r="AA69" s="8">
        <v>1</v>
      </c>
      <c r="AB69" s="9">
        <v>2</v>
      </c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42</v>
      </c>
      <c r="BI69" s="47">
        <f t="shared" si="3"/>
        <v>12.6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8</v>
      </c>
      <c r="BI70" s="47">
        <f t="shared" si="3"/>
        <v>2.4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>
        <v>11</v>
      </c>
      <c r="AA72" s="8">
        <v>5</v>
      </c>
      <c r="AB72" s="9">
        <v>12</v>
      </c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3" si="8">SUM(E72:BF72)</f>
        <v>91</v>
      </c>
      <c r="BI72" s="47">
        <f t="shared" ref="BI72:BI83" si="9">(SUM(E72:BG72)*$D$2)</f>
        <v>27.3</v>
      </c>
    </row>
    <row r="73" spans="1:61" x14ac:dyDescent="0.25">
      <c r="A73" s="44" t="s">
        <v>426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>
        <v>2</v>
      </c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13</v>
      </c>
      <c r="BI73" s="47">
        <f t="shared" si="9"/>
        <v>3.9</v>
      </c>
    </row>
    <row r="74" spans="1:61" x14ac:dyDescent="0.25">
      <c r="A74" s="44" t="s">
        <v>425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427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>
        <v>4</v>
      </c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8</v>
      </c>
      <c r="BI75" s="47">
        <f t="shared" si="9"/>
        <v>2.4</v>
      </c>
    </row>
    <row r="76" spans="1:61" x14ac:dyDescent="0.25">
      <c r="A76" s="44" t="s">
        <v>428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419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>
        <v>1</v>
      </c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2" si="10">SUM(E78:BF78)</f>
        <v>4</v>
      </c>
      <c r="BI78" s="47">
        <f t="shared" ref="BI78:BI82" si="11">(SUM(E78:BG78)*$D$2)</f>
        <v>1.2</v>
      </c>
    </row>
    <row r="79" spans="1:61" x14ac:dyDescent="0.25">
      <c r="A79" s="44" t="s">
        <v>444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6</v>
      </c>
      <c r="BI79" s="47">
        <f t="shared" si="11"/>
        <v>1.7999999999999998</v>
      </c>
    </row>
    <row r="80" spans="1:61" x14ac:dyDescent="0.25">
      <c r="A80" s="44" t="s">
        <v>445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>
        <v>6</v>
      </c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12</v>
      </c>
      <c r="BI80" s="47">
        <f t="shared" si="11"/>
        <v>3.5999999999999996</v>
      </c>
    </row>
    <row r="81" spans="1:61" x14ac:dyDescent="0.25">
      <c r="A81" s="44" t="s">
        <v>446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10"/>
        <v>2</v>
      </c>
      <c r="BI81" s="47">
        <f t="shared" si="11"/>
        <v>0.6</v>
      </c>
    </row>
    <row r="82" spans="1:61" x14ac:dyDescent="0.25">
      <c r="A82" s="44" t="s">
        <v>451</v>
      </c>
      <c r="B82" s="45"/>
      <c r="C82" s="44" t="s">
        <v>49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>
        <v>4</v>
      </c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10"/>
        <v>4</v>
      </c>
      <c r="BI82" s="47">
        <f t="shared" si="11"/>
        <v>1.2</v>
      </c>
    </row>
    <row r="83" spans="1:61" x14ac:dyDescent="0.25">
      <c r="A83" s="44" t="s">
        <v>452</v>
      </c>
      <c r="B83" s="45"/>
      <c r="C83" s="44" t="s">
        <v>49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>
        <v>2</v>
      </c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8"/>
        <v>2</v>
      </c>
      <c r="BI83" s="47">
        <f t="shared" si="9"/>
        <v>0.6</v>
      </c>
    </row>
    <row r="84" spans="1:61" x14ac:dyDescent="0.25"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/>
      <c r="BI84" s="47"/>
    </row>
    <row r="85" spans="1:61" x14ac:dyDescent="0.25">
      <c r="A85" s="42" t="s">
        <v>219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ref="BH85" si="12">SUM(E85:BF85)</f>
        <v>0</v>
      </c>
      <c r="BI85" s="47">
        <f t="shared" ref="BI85" si="13">(SUM(E85:BG85)*$D$2)</f>
        <v>0</v>
      </c>
    </row>
    <row r="86" spans="1:61" x14ac:dyDescent="0.25">
      <c r="A86" s="42" t="s">
        <v>218</v>
      </c>
      <c r="B86" s="43">
        <v>1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>
        <v>3</v>
      </c>
      <c r="T86" s="10"/>
      <c r="U86" s="11"/>
      <c r="V86" s="12"/>
      <c r="W86" s="13">
        <v>4</v>
      </c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7</v>
      </c>
      <c r="BI86" s="47">
        <f t="shared" si="3"/>
        <v>2.1</v>
      </c>
    </row>
    <row r="87" spans="1:61" x14ac:dyDescent="0.25">
      <c r="A87" s="42" t="s">
        <v>362</v>
      </c>
      <c r="B87" s="43">
        <v>1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>
        <v>1</v>
      </c>
      <c r="T87" s="10"/>
      <c r="U87" s="11"/>
      <c r="V87" s="12"/>
      <c r="W87" s="13"/>
      <c r="Y87" s="6"/>
      <c r="Z87" s="7"/>
      <c r="AA87" s="8"/>
      <c r="AB87" s="9">
        <v>1</v>
      </c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2</v>
      </c>
      <c r="BI87" s="47">
        <f t="shared" si="3"/>
        <v>0.6</v>
      </c>
    </row>
    <row r="88" spans="1:61" x14ac:dyDescent="0.25">
      <c r="A88" s="42" t="s">
        <v>217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ref="BH88:BH172" si="14">SUM(E88:BF88)</f>
        <v>0</v>
      </c>
      <c r="BI88" s="47">
        <f t="shared" ref="BI88:BI172" si="15">(SUM(E88:BG88)*$D$2)</f>
        <v>0</v>
      </c>
    </row>
    <row r="89" spans="1:61" x14ac:dyDescent="0.25">
      <c r="A89" s="42" t="s">
        <v>216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>
        <v>7</v>
      </c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4"/>
        <v>7</v>
      </c>
      <c r="BI89" s="47">
        <f t="shared" si="15"/>
        <v>2.1</v>
      </c>
    </row>
    <row r="90" spans="1:61" x14ac:dyDescent="0.25">
      <c r="A90" s="42" t="s">
        <v>215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>
        <v>3</v>
      </c>
      <c r="T90" s="10"/>
      <c r="U90" s="11">
        <v>2</v>
      </c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4"/>
        <v>5</v>
      </c>
      <c r="BI90" s="47">
        <f t="shared" si="15"/>
        <v>1.5</v>
      </c>
    </row>
    <row r="91" spans="1:61" x14ac:dyDescent="0.25">
      <c r="A91" s="42" t="s">
        <v>214</v>
      </c>
      <c r="B91" s="43">
        <v>2</v>
      </c>
      <c r="C91" s="42" t="s">
        <v>64</v>
      </c>
      <c r="D91" t="s">
        <v>52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0</v>
      </c>
      <c r="BI91" s="47">
        <f t="shared" si="15"/>
        <v>0</v>
      </c>
    </row>
    <row r="92" spans="1:61" x14ac:dyDescent="0.25">
      <c r="A92" s="42" t="s">
        <v>213</v>
      </c>
      <c r="B92" s="43">
        <v>2</v>
      </c>
      <c r="C92" s="42" t="s">
        <v>64</v>
      </c>
      <c r="D92" t="s">
        <v>52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0</v>
      </c>
      <c r="BI92" s="47">
        <f t="shared" si="15"/>
        <v>0</v>
      </c>
    </row>
    <row r="93" spans="1:61" x14ac:dyDescent="0.25">
      <c r="A93" s="42" t="s">
        <v>212</v>
      </c>
      <c r="B93" s="43">
        <v>2</v>
      </c>
      <c r="C93" s="42" t="s">
        <v>64</v>
      </c>
      <c r="D93" t="s">
        <v>52</v>
      </c>
      <c r="E93" s="6">
        <v>3</v>
      </c>
      <c r="F93" s="7"/>
      <c r="G93" s="8"/>
      <c r="H93" s="9"/>
      <c r="J93" s="10"/>
      <c r="K93" s="11"/>
      <c r="L93" s="12"/>
      <c r="M93" s="13"/>
      <c r="O93" s="6"/>
      <c r="P93" s="7"/>
      <c r="Q93" s="8"/>
      <c r="R93" s="9">
        <v>7</v>
      </c>
      <c r="T93" s="10"/>
      <c r="U93" s="11">
        <v>4</v>
      </c>
      <c r="V93" s="12"/>
      <c r="W93" s="13">
        <v>9</v>
      </c>
      <c r="Y93" s="6">
        <v>4</v>
      </c>
      <c r="Z93" s="7"/>
      <c r="AA93" s="8"/>
      <c r="AB93" s="9">
        <v>4</v>
      </c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31</v>
      </c>
      <c r="BI93" s="47">
        <f t="shared" si="15"/>
        <v>9.2999999999999989</v>
      </c>
    </row>
    <row r="94" spans="1:61" x14ac:dyDescent="0.25">
      <c r="A94" s="42" t="s">
        <v>211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>
        <v>1</v>
      </c>
      <c r="T94" s="10"/>
      <c r="U94" s="11"/>
      <c r="V94" s="12"/>
      <c r="W94" s="13"/>
      <c r="Y94" s="6"/>
      <c r="Z94" s="7"/>
      <c r="AA94" s="8"/>
      <c r="AB94" s="9">
        <v>1</v>
      </c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2</v>
      </c>
      <c r="BI94" s="47">
        <f t="shared" si="15"/>
        <v>0.6</v>
      </c>
    </row>
    <row r="95" spans="1:61" x14ac:dyDescent="0.25">
      <c r="A95" s="42" t="s">
        <v>210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2</v>
      </c>
      <c r="T95" s="10"/>
      <c r="U95" s="11"/>
      <c r="V95" s="12"/>
      <c r="W95" s="13"/>
      <c r="Y95" s="6"/>
      <c r="Z95" s="7"/>
      <c r="AA95" s="8"/>
      <c r="AB95" s="9">
        <v>1</v>
      </c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3</v>
      </c>
      <c r="BI95" s="47">
        <f t="shared" si="15"/>
        <v>0.89999999999999991</v>
      </c>
    </row>
    <row r="96" spans="1:61" x14ac:dyDescent="0.25">
      <c r="A96" s="42" t="s">
        <v>363</v>
      </c>
      <c r="B96" s="43">
        <v>10</v>
      </c>
      <c r="C96" s="42" t="s">
        <v>64</v>
      </c>
      <c r="D96" t="s">
        <v>59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>
        <v>1</v>
      </c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14"/>
        <v>1</v>
      </c>
      <c r="BI96" s="47">
        <f t="shared" si="15"/>
        <v>0.3</v>
      </c>
    </row>
    <row r="97" spans="1:61" x14ac:dyDescent="0.25">
      <c r="A97" s="42" t="s">
        <v>208</v>
      </c>
      <c r="B97" s="43">
        <v>10</v>
      </c>
      <c r="C97" s="42" t="s">
        <v>64</v>
      </c>
      <c r="D97" t="s">
        <v>59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2</v>
      </c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4"/>
        <v>2</v>
      </c>
      <c r="BI97" s="47">
        <f t="shared" si="15"/>
        <v>0.6</v>
      </c>
    </row>
    <row r="98" spans="1:61" x14ac:dyDescent="0.25">
      <c r="A98" s="42" t="s">
        <v>207</v>
      </c>
      <c r="B98" s="43">
        <v>3</v>
      </c>
      <c r="C98" s="42" t="s">
        <v>64</v>
      </c>
      <c r="D98" t="s">
        <v>56</v>
      </c>
      <c r="E98" s="6"/>
      <c r="F98" s="7"/>
      <c r="G98" s="8">
        <v>1</v>
      </c>
      <c r="H98" s="9"/>
      <c r="J98" s="10"/>
      <c r="K98" s="11"/>
      <c r="L98" s="12"/>
      <c r="M98" s="13"/>
      <c r="O98" s="6">
        <v>3</v>
      </c>
      <c r="P98" s="7">
        <v>2</v>
      </c>
      <c r="Q98" s="8">
        <v>3</v>
      </c>
      <c r="R98" s="9">
        <v>7</v>
      </c>
      <c r="T98" s="10"/>
      <c r="U98" s="11"/>
      <c r="V98" s="12"/>
      <c r="W98" s="13">
        <v>3</v>
      </c>
      <c r="Y98" s="6">
        <v>2</v>
      </c>
      <c r="Z98" s="7">
        <v>3</v>
      </c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ref="BH98:BH99" si="16">SUM(E98:BF98)</f>
        <v>24</v>
      </c>
      <c r="BI98" s="47">
        <f t="shared" ref="BI98:BI99" si="17">(SUM(E98:BG98)*$D$2)</f>
        <v>7.1999999999999993</v>
      </c>
    </row>
    <row r="99" spans="1:61" x14ac:dyDescent="0.25">
      <c r="A99" s="42" t="s">
        <v>364</v>
      </c>
      <c r="B99" s="43">
        <v>3</v>
      </c>
      <c r="C99" s="42" t="s">
        <v>64</v>
      </c>
      <c r="D99" t="s">
        <v>56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>
        <v>5</v>
      </c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6"/>
        <v>5</v>
      </c>
      <c r="BI99" s="47">
        <f t="shared" si="17"/>
        <v>1.5</v>
      </c>
    </row>
    <row r="100" spans="1:61" x14ac:dyDescent="0.25">
      <c r="A100" s="42" t="s">
        <v>206</v>
      </c>
      <c r="B100" s="43">
        <v>3</v>
      </c>
      <c r="C100" s="42" t="s">
        <v>64</v>
      </c>
      <c r="D100" t="s">
        <v>56</v>
      </c>
      <c r="E100" s="6">
        <v>3</v>
      </c>
      <c r="F100" s="7">
        <v>4</v>
      </c>
      <c r="G100" s="8">
        <v>3</v>
      </c>
      <c r="H100" s="9">
        <v>5</v>
      </c>
      <c r="J100" s="10"/>
      <c r="K100" s="11"/>
      <c r="L100" s="12">
        <v>4</v>
      </c>
      <c r="M100" s="13">
        <v>5</v>
      </c>
      <c r="O100" s="6">
        <v>5</v>
      </c>
      <c r="P100" s="7">
        <v>2</v>
      </c>
      <c r="Q100" s="8">
        <v>3</v>
      </c>
      <c r="R100" s="9">
        <v>9</v>
      </c>
      <c r="T100" s="10"/>
      <c r="U100" s="11"/>
      <c r="V100" s="12"/>
      <c r="W100" s="13">
        <v>7</v>
      </c>
      <c r="Y100" s="6">
        <v>5</v>
      </c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14"/>
        <v>55</v>
      </c>
      <c r="BI100" s="47">
        <f t="shared" si="15"/>
        <v>16.5</v>
      </c>
    </row>
    <row r="101" spans="1:61" x14ac:dyDescent="0.25">
      <c r="A101" s="42" t="s">
        <v>205</v>
      </c>
      <c r="B101" s="43">
        <v>3</v>
      </c>
      <c r="C101" s="42" t="s">
        <v>64</v>
      </c>
      <c r="D101" t="s">
        <v>56</v>
      </c>
      <c r="E101" s="6"/>
      <c r="F101" s="7">
        <v>1</v>
      </c>
      <c r="G101" s="8">
        <v>3</v>
      </c>
      <c r="H101" s="9">
        <v>8</v>
      </c>
      <c r="J101" s="10"/>
      <c r="K101" s="11"/>
      <c r="L101" s="12">
        <v>2</v>
      </c>
      <c r="M101" s="13">
        <v>5</v>
      </c>
      <c r="O101" s="6">
        <v>8</v>
      </c>
      <c r="P101" s="7">
        <v>7</v>
      </c>
      <c r="Q101" s="8">
        <v>7</v>
      </c>
      <c r="R101" s="9">
        <v>9</v>
      </c>
      <c r="T101" s="10"/>
      <c r="U101" s="11">
        <v>8</v>
      </c>
      <c r="V101" s="12"/>
      <c r="W101" s="13">
        <v>10</v>
      </c>
      <c r="Y101" s="6">
        <v>5</v>
      </c>
      <c r="Z101" s="7">
        <v>5</v>
      </c>
      <c r="AA101" s="8">
        <v>4</v>
      </c>
      <c r="AB101" s="9">
        <v>11</v>
      </c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4"/>
        <v>93</v>
      </c>
      <c r="BI101" s="47">
        <f t="shared" si="15"/>
        <v>27.9</v>
      </c>
    </row>
    <row r="102" spans="1:61" x14ac:dyDescent="0.25">
      <c r="A102" s="42" t="s">
        <v>204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>
        <v>2</v>
      </c>
      <c r="R102" s="9">
        <v>5</v>
      </c>
      <c r="T102" s="10"/>
      <c r="U102" s="11">
        <v>3</v>
      </c>
      <c r="V102" s="12"/>
      <c r="W102" s="13">
        <v>6</v>
      </c>
      <c r="Y102" s="6">
        <v>1</v>
      </c>
      <c r="Z102" s="7">
        <v>3</v>
      </c>
      <c r="AA102" s="8">
        <v>3</v>
      </c>
      <c r="AB102" s="9">
        <v>5</v>
      </c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ref="BH102:BH103" si="18">SUM(E102:BF102)</f>
        <v>28</v>
      </c>
      <c r="BI102" s="47">
        <f t="shared" ref="BI102:BI103" si="19">(SUM(E102:BG102)*$D$2)</f>
        <v>8.4</v>
      </c>
    </row>
    <row r="103" spans="1:61" x14ac:dyDescent="0.25">
      <c r="A103" s="42" t="s">
        <v>347</v>
      </c>
      <c r="B103" s="43">
        <v>3</v>
      </c>
      <c r="C103" s="42" t="s">
        <v>64</v>
      </c>
      <c r="D103" t="s">
        <v>56</v>
      </c>
      <c r="E103" s="6"/>
      <c r="F103" s="7">
        <v>3</v>
      </c>
      <c r="G103" s="8">
        <v>4</v>
      </c>
      <c r="H103" s="9"/>
      <c r="J103" s="10"/>
      <c r="K103" s="11"/>
      <c r="L103" s="12">
        <v>4</v>
      </c>
      <c r="M103" s="13">
        <v>4</v>
      </c>
      <c r="O103" s="6">
        <v>4</v>
      </c>
      <c r="P103" s="7">
        <v>4</v>
      </c>
      <c r="Q103" s="8">
        <v>3</v>
      </c>
      <c r="R103" s="9">
        <v>3</v>
      </c>
      <c r="T103" s="10"/>
      <c r="U103" s="11">
        <v>3</v>
      </c>
      <c r="V103" s="12"/>
      <c r="W103" s="13">
        <v>6</v>
      </c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8"/>
        <v>38</v>
      </c>
      <c r="BI103" s="47">
        <f t="shared" si="19"/>
        <v>11.4</v>
      </c>
    </row>
    <row r="104" spans="1:61" x14ac:dyDescent="0.25">
      <c r="A104" s="42" t="s">
        <v>348</v>
      </c>
      <c r="B104" s="43">
        <v>3</v>
      </c>
      <c r="C104" s="42" t="s">
        <v>64</v>
      </c>
      <c r="D104" t="s">
        <v>56</v>
      </c>
      <c r="E104" s="6"/>
      <c r="F104" s="7">
        <v>2</v>
      </c>
      <c r="G104" s="8"/>
      <c r="H104" s="9"/>
      <c r="J104" s="10"/>
      <c r="K104" s="11"/>
      <c r="L104" s="12"/>
      <c r="M104" s="13"/>
      <c r="O104" s="6"/>
      <c r="P104" s="7"/>
      <c r="Q104" s="8"/>
      <c r="R104" s="9">
        <v>4</v>
      </c>
      <c r="T104" s="10"/>
      <c r="U104" s="11">
        <v>4</v>
      </c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4"/>
        <v>10</v>
      </c>
      <c r="BI104" s="47">
        <f t="shared" si="15"/>
        <v>3</v>
      </c>
    </row>
    <row r="105" spans="1:61" x14ac:dyDescent="0.25">
      <c r="A105" s="42" t="s">
        <v>203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4"/>
        <v>0</v>
      </c>
      <c r="BI105" s="47">
        <f t="shared" si="15"/>
        <v>0</v>
      </c>
    </row>
    <row r="106" spans="1:61" x14ac:dyDescent="0.25">
      <c r="A106" s="42" t="s">
        <v>365</v>
      </c>
      <c r="B106" s="43">
        <v>5</v>
      </c>
      <c r="C106" s="42" t="s">
        <v>64</v>
      </c>
      <c r="D106" t="s">
        <v>58</v>
      </c>
      <c r="E106" s="6"/>
      <c r="F106" s="7"/>
      <c r="G106" s="8">
        <v>4</v>
      </c>
      <c r="H106" s="9"/>
      <c r="J106" s="10"/>
      <c r="K106" s="11"/>
      <c r="L106" s="12">
        <v>4</v>
      </c>
      <c r="M106" s="13">
        <v>3</v>
      </c>
      <c r="O106" s="6">
        <v>3</v>
      </c>
      <c r="P106" s="7">
        <v>2</v>
      </c>
      <c r="Q106" s="8">
        <v>3</v>
      </c>
      <c r="R106" s="9">
        <v>2</v>
      </c>
      <c r="T106" s="10"/>
      <c r="U106" s="11">
        <v>1</v>
      </c>
      <c r="V106" s="12"/>
      <c r="W106" s="13">
        <v>2</v>
      </c>
      <c r="Y106" s="6"/>
      <c r="Z106" s="7">
        <v>1</v>
      </c>
      <c r="AA106" s="8"/>
      <c r="AB106" s="9">
        <v>6</v>
      </c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31</v>
      </c>
      <c r="BI106" s="47">
        <f t="shared" si="15"/>
        <v>9.2999999999999989</v>
      </c>
    </row>
    <row r="107" spans="1:61" x14ac:dyDescent="0.25">
      <c r="A107" s="42" t="s">
        <v>202</v>
      </c>
      <c r="B107" s="43">
        <v>5</v>
      </c>
      <c r="C107" s="42" t="s">
        <v>64</v>
      </c>
      <c r="D107" t="s">
        <v>58</v>
      </c>
      <c r="E107" s="6"/>
      <c r="F107" s="7"/>
      <c r="G107" s="8">
        <v>4</v>
      </c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>
        <v>6</v>
      </c>
      <c r="Y107" s="6"/>
      <c r="Z107" s="7"/>
      <c r="AA107" s="8">
        <v>4</v>
      </c>
      <c r="AB107" s="9">
        <v>5</v>
      </c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19</v>
      </c>
      <c r="BI107" s="47">
        <f t="shared" si="15"/>
        <v>5.7</v>
      </c>
    </row>
    <row r="108" spans="1:61" x14ac:dyDescent="0.25">
      <c r="A108" s="42" t="s">
        <v>201</v>
      </c>
      <c r="B108" s="43">
        <v>5</v>
      </c>
      <c r="C108" s="42" t="s">
        <v>64</v>
      </c>
      <c r="D108" t="s">
        <v>58</v>
      </c>
      <c r="E108" s="6"/>
      <c r="F108" s="7"/>
      <c r="G108" s="8">
        <v>3</v>
      </c>
      <c r="H108" s="9">
        <v>4</v>
      </c>
      <c r="J108" s="10"/>
      <c r="K108" s="11"/>
      <c r="L108" s="12">
        <v>5</v>
      </c>
      <c r="M108" s="13">
        <v>5</v>
      </c>
      <c r="O108" s="6">
        <v>3</v>
      </c>
      <c r="P108" s="7">
        <v>2</v>
      </c>
      <c r="Q108" s="8">
        <v>4</v>
      </c>
      <c r="R108" s="9">
        <v>7</v>
      </c>
      <c r="T108" s="10"/>
      <c r="U108" s="11"/>
      <c r="V108" s="12"/>
      <c r="W108" s="13">
        <v>5</v>
      </c>
      <c r="Y108" s="6"/>
      <c r="Z108" s="7"/>
      <c r="AA108" s="8">
        <v>4</v>
      </c>
      <c r="AB108" s="9">
        <v>5</v>
      </c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47</v>
      </c>
      <c r="BI108" s="47">
        <f t="shared" si="15"/>
        <v>14.1</v>
      </c>
    </row>
    <row r="109" spans="1:61" x14ac:dyDescent="0.25">
      <c r="A109" s="42" t="s">
        <v>200</v>
      </c>
      <c r="B109" s="43">
        <v>5</v>
      </c>
      <c r="C109" s="42" t="s">
        <v>64</v>
      </c>
      <c r="D109" t="s">
        <v>58</v>
      </c>
      <c r="E109" s="6"/>
      <c r="F109" s="7"/>
      <c r="G109" s="8">
        <v>2</v>
      </c>
      <c r="H109" s="9"/>
      <c r="J109" s="10"/>
      <c r="K109" s="11"/>
      <c r="L109" s="12"/>
      <c r="M109" s="13"/>
      <c r="O109" s="6"/>
      <c r="P109" s="7">
        <v>4</v>
      </c>
      <c r="Q109" s="8"/>
      <c r="R109" s="9"/>
      <c r="T109" s="10"/>
      <c r="U109" s="11"/>
      <c r="V109" s="12"/>
      <c r="W109" s="13">
        <v>8</v>
      </c>
      <c r="Y109" s="6"/>
      <c r="Z109" s="7"/>
      <c r="AA109" s="8">
        <v>6</v>
      </c>
      <c r="AB109" s="9">
        <v>8</v>
      </c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28</v>
      </c>
      <c r="BI109" s="47">
        <f t="shared" si="15"/>
        <v>8.4</v>
      </c>
    </row>
    <row r="110" spans="1:61" x14ac:dyDescent="0.25">
      <c r="A110" s="42" t="s">
        <v>366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>
        <v>3</v>
      </c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3</v>
      </c>
      <c r="BI110" s="47">
        <f t="shared" si="15"/>
        <v>0.89999999999999991</v>
      </c>
    </row>
    <row r="111" spans="1:61" x14ac:dyDescent="0.25">
      <c r="A111" s="42" t="s">
        <v>198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>
        <v>3</v>
      </c>
      <c r="J111" s="10"/>
      <c r="K111" s="11"/>
      <c r="L111" s="12"/>
      <c r="M111" s="13"/>
      <c r="O111" s="6"/>
      <c r="P111" s="7"/>
      <c r="Q111" s="8"/>
      <c r="R111" s="9">
        <v>3</v>
      </c>
      <c r="T111" s="10"/>
      <c r="U111" s="11"/>
      <c r="V111" s="12"/>
      <c r="W111" s="13">
        <v>1</v>
      </c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7</v>
      </c>
      <c r="BI111" s="47">
        <f t="shared" si="15"/>
        <v>2.1</v>
      </c>
    </row>
    <row r="112" spans="1:61" x14ac:dyDescent="0.25">
      <c r="A112" s="42" t="s">
        <v>197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3</v>
      </c>
      <c r="T112" s="10"/>
      <c r="U112" s="11"/>
      <c r="V112" s="12"/>
      <c r="W112" s="13"/>
      <c r="Y112" s="6"/>
      <c r="Z112" s="7"/>
      <c r="AA112" s="8"/>
      <c r="AB112" s="9">
        <v>1</v>
      </c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4</v>
      </c>
      <c r="BI112" s="47">
        <f t="shared" si="15"/>
        <v>1.2</v>
      </c>
    </row>
    <row r="113" spans="1:61" x14ac:dyDescent="0.25">
      <c r="A113" s="42" t="s">
        <v>377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2</v>
      </c>
      <c r="J113" s="10"/>
      <c r="K113" s="11"/>
      <c r="L113" s="12"/>
      <c r="M113" s="13"/>
      <c r="O113" s="6"/>
      <c r="P113" s="7"/>
      <c r="Q113" s="8"/>
      <c r="R113" s="9">
        <v>4</v>
      </c>
      <c r="T113" s="10"/>
      <c r="U113" s="11">
        <v>1</v>
      </c>
      <c r="V113" s="12"/>
      <c r="W113" s="13"/>
      <c r="Y113" s="6"/>
      <c r="Z113" s="7"/>
      <c r="AA113" s="8"/>
      <c r="AB113" s="9">
        <v>3</v>
      </c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10</v>
      </c>
      <c r="BI113" s="47">
        <f t="shared" si="15"/>
        <v>3</v>
      </c>
    </row>
    <row r="114" spans="1:61" x14ac:dyDescent="0.25">
      <c r="A114" s="42" t="s">
        <v>195</v>
      </c>
      <c r="B114" s="43">
        <v>4</v>
      </c>
      <c r="C114" s="42" t="s">
        <v>64</v>
      </c>
      <c r="D114" t="s">
        <v>55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8</v>
      </c>
      <c r="T114" s="10"/>
      <c r="U114" s="11"/>
      <c r="V114" s="12"/>
      <c r="W114" s="13">
        <v>7</v>
      </c>
      <c r="Y114" s="6">
        <v>3</v>
      </c>
      <c r="Z114" s="7">
        <v>4</v>
      </c>
      <c r="AA114" s="8"/>
      <c r="AB114" s="9">
        <v>7</v>
      </c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29</v>
      </c>
      <c r="BI114" s="47">
        <f t="shared" si="15"/>
        <v>8.6999999999999993</v>
      </c>
    </row>
    <row r="115" spans="1:61" x14ac:dyDescent="0.25">
      <c r="A115" s="42" t="s">
        <v>194</v>
      </c>
      <c r="B115" s="43">
        <v>4</v>
      </c>
      <c r="C115" s="42" t="s">
        <v>64</v>
      </c>
      <c r="D115" t="s">
        <v>55</v>
      </c>
      <c r="E115" s="6"/>
      <c r="F115" s="7"/>
      <c r="G115" s="8"/>
      <c r="H115" s="9">
        <v>4</v>
      </c>
      <c r="J115" s="10"/>
      <c r="K115" s="11"/>
      <c r="L115" s="12"/>
      <c r="M115" s="13"/>
      <c r="O115" s="6"/>
      <c r="P115" s="7">
        <v>2</v>
      </c>
      <c r="Q115" s="8">
        <v>3</v>
      </c>
      <c r="R115" s="9">
        <v>11</v>
      </c>
      <c r="T115" s="10"/>
      <c r="U115" s="11">
        <v>3</v>
      </c>
      <c r="V115" s="12"/>
      <c r="W115" s="13">
        <v>8</v>
      </c>
      <c r="Y115" s="6"/>
      <c r="Z115" s="7">
        <v>2</v>
      </c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33</v>
      </c>
      <c r="BI115" s="47">
        <f t="shared" si="15"/>
        <v>9.9</v>
      </c>
    </row>
    <row r="116" spans="1:61" x14ac:dyDescent="0.25">
      <c r="A116" s="42" t="s">
        <v>193</v>
      </c>
      <c r="B116" s="43">
        <v>6</v>
      </c>
      <c r="C116" s="42" t="s">
        <v>64</v>
      </c>
      <c r="D116" t="s">
        <v>50</v>
      </c>
      <c r="E116" s="6">
        <v>3</v>
      </c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6</v>
      </c>
      <c r="T116" s="10"/>
      <c r="U116" s="11">
        <v>2</v>
      </c>
      <c r="V116" s="12"/>
      <c r="W116" s="13">
        <v>6</v>
      </c>
      <c r="Y116" s="6">
        <v>4</v>
      </c>
      <c r="Z116" s="7"/>
      <c r="AA116" s="8"/>
      <c r="AB116" s="9">
        <v>5</v>
      </c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26</v>
      </c>
      <c r="BI116" s="47">
        <f t="shared" si="15"/>
        <v>7.8</v>
      </c>
    </row>
    <row r="117" spans="1:61" x14ac:dyDescent="0.25">
      <c r="A117" s="42" t="s">
        <v>192</v>
      </c>
      <c r="B117" s="43">
        <v>6</v>
      </c>
      <c r="C117" s="42" t="s">
        <v>64</v>
      </c>
      <c r="D117" t="s">
        <v>50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>
        <v>4</v>
      </c>
      <c r="V117" s="12"/>
      <c r="W117" s="13"/>
      <c r="Y117" s="6"/>
      <c r="Z117" s="7"/>
      <c r="AA117" s="8"/>
      <c r="AB117" s="9">
        <v>1</v>
      </c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5</v>
      </c>
      <c r="BI117" s="47">
        <f t="shared" si="15"/>
        <v>1.5</v>
      </c>
    </row>
    <row r="118" spans="1:61" x14ac:dyDescent="0.25">
      <c r="A118" s="42" t="s">
        <v>191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4</v>
      </c>
      <c r="T118" s="10"/>
      <c r="U118" s="11"/>
      <c r="V118" s="12"/>
      <c r="W118" s="13">
        <v>5</v>
      </c>
      <c r="Y118" s="6">
        <v>3</v>
      </c>
      <c r="Z118" s="7"/>
      <c r="AA118" s="8"/>
      <c r="AB118" s="9">
        <v>4</v>
      </c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16</v>
      </c>
      <c r="BI118" s="47">
        <f t="shared" si="15"/>
        <v>4.8</v>
      </c>
    </row>
    <row r="119" spans="1:61" x14ac:dyDescent="0.25">
      <c r="A119" s="42" t="s">
        <v>367</v>
      </c>
      <c r="B119" s="43">
        <v>7</v>
      </c>
      <c r="C119" s="42" t="s">
        <v>64</v>
      </c>
      <c r="D119" t="s">
        <v>50</v>
      </c>
      <c r="E119" s="6"/>
      <c r="F119" s="7">
        <v>4</v>
      </c>
      <c r="G119" s="8">
        <v>7</v>
      </c>
      <c r="H119" s="9">
        <v>2</v>
      </c>
      <c r="J119" s="10"/>
      <c r="K119" s="11"/>
      <c r="L119" s="12">
        <v>5</v>
      </c>
      <c r="M119" s="13">
        <v>3</v>
      </c>
      <c r="O119" s="6"/>
      <c r="P119" s="7"/>
      <c r="Q119" s="8"/>
      <c r="R119" s="9">
        <v>7</v>
      </c>
      <c r="T119" s="10"/>
      <c r="U119" s="11">
        <v>3</v>
      </c>
      <c r="V119" s="12"/>
      <c r="W119" s="13">
        <v>9</v>
      </c>
      <c r="Y119" s="6">
        <v>1</v>
      </c>
      <c r="Z119" s="7"/>
      <c r="AA119" s="8">
        <v>7</v>
      </c>
      <c r="AB119" s="9">
        <v>8</v>
      </c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56</v>
      </c>
      <c r="BI119" s="47">
        <f t="shared" si="15"/>
        <v>16.8</v>
      </c>
    </row>
    <row r="120" spans="1:61" x14ac:dyDescent="0.25">
      <c r="A120" s="42" t="s">
        <v>368</v>
      </c>
      <c r="B120" s="43">
        <v>7</v>
      </c>
      <c r="C120" s="42" t="s">
        <v>64</v>
      </c>
      <c r="D120" t="s">
        <v>50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1</v>
      </c>
      <c r="T120" s="10"/>
      <c r="U120" s="11"/>
      <c r="V120" s="12"/>
      <c r="W120" s="13"/>
      <c r="Y120" s="6"/>
      <c r="Z120" s="7"/>
      <c r="AA120" s="8"/>
      <c r="AB120" s="9">
        <v>3</v>
      </c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4</v>
      </c>
      <c r="BI120" s="47">
        <f t="shared" si="15"/>
        <v>1.2</v>
      </c>
    </row>
    <row r="121" spans="1:61" x14ac:dyDescent="0.25">
      <c r="A121" s="42" t="s">
        <v>378</v>
      </c>
      <c r="B121" s="43">
        <v>7</v>
      </c>
      <c r="C121" s="42" t="s">
        <v>64</v>
      </c>
      <c r="D121" t="s">
        <v>50</v>
      </c>
      <c r="E121" s="6">
        <v>5</v>
      </c>
      <c r="F121" s="7">
        <v>4</v>
      </c>
      <c r="G121" s="8">
        <v>3</v>
      </c>
      <c r="H121" s="9">
        <v>7</v>
      </c>
      <c r="J121" s="10"/>
      <c r="K121" s="11"/>
      <c r="L121" s="12">
        <v>7</v>
      </c>
      <c r="M121" s="13"/>
      <c r="O121" s="6"/>
      <c r="P121" s="7"/>
      <c r="Q121" s="8"/>
      <c r="R121" s="9">
        <v>8</v>
      </c>
      <c r="T121" s="10"/>
      <c r="U121" s="11"/>
      <c r="V121" s="12"/>
      <c r="W121" s="13">
        <v>6</v>
      </c>
      <c r="Y121" s="6"/>
      <c r="Z121" s="7"/>
      <c r="AA121" s="8">
        <v>5</v>
      </c>
      <c r="AB121" s="9">
        <v>4</v>
      </c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49</v>
      </c>
      <c r="BI121" s="47">
        <f t="shared" si="15"/>
        <v>14.7</v>
      </c>
    </row>
    <row r="122" spans="1:61" x14ac:dyDescent="0.25">
      <c r="A122" s="42" t="s">
        <v>188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>
        <v>2</v>
      </c>
      <c r="T122" s="10"/>
      <c r="U122" s="11"/>
      <c r="V122" s="12"/>
      <c r="W122" s="13"/>
      <c r="Y122" s="6"/>
      <c r="Z122" s="7"/>
      <c r="AA122" s="8"/>
      <c r="AB122" s="9">
        <v>2</v>
      </c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4</v>
      </c>
      <c r="BI122" s="47">
        <f t="shared" si="15"/>
        <v>1.2</v>
      </c>
    </row>
    <row r="123" spans="1:61" x14ac:dyDescent="0.25">
      <c r="A123" s="42" t="s">
        <v>369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>
        <v>4</v>
      </c>
      <c r="T123" s="10"/>
      <c r="U123" s="11"/>
      <c r="V123" s="12"/>
      <c r="W123" s="13"/>
      <c r="Y123" s="6">
        <v>3</v>
      </c>
      <c r="Z123" s="7">
        <v>2</v>
      </c>
      <c r="AA123" s="8">
        <v>3</v>
      </c>
      <c r="AB123" s="9">
        <v>6</v>
      </c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18</v>
      </c>
      <c r="BI123" s="47">
        <f t="shared" si="15"/>
        <v>5.3999999999999995</v>
      </c>
    </row>
    <row r="124" spans="1:61" x14ac:dyDescent="0.25">
      <c r="A124" s="42" t="s">
        <v>370</v>
      </c>
      <c r="B124" s="43">
        <v>6</v>
      </c>
      <c r="C124" s="42" t="s">
        <v>64</v>
      </c>
      <c r="D124" t="s">
        <v>51</v>
      </c>
      <c r="E124" s="6"/>
      <c r="F124" s="7">
        <v>3</v>
      </c>
      <c r="G124" s="8">
        <v>2</v>
      </c>
      <c r="H124" s="9">
        <v>3</v>
      </c>
      <c r="J124" s="10"/>
      <c r="K124" s="11"/>
      <c r="L124" s="12"/>
      <c r="M124" s="13">
        <v>4</v>
      </c>
      <c r="O124" s="6">
        <v>3</v>
      </c>
      <c r="P124" s="7"/>
      <c r="Q124" s="8">
        <v>2</v>
      </c>
      <c r="R124" s="9">
        <v>7</v>
      </c>
      <c r="T124" s="10"/>
      <c r="U124" s="11">
        <v>2</v>
      </c>
      <c r="V124" s="12"/>
      <c r="W124" s="13">
        <v>6</v>
      </c>
      <c r="Y124" s="6"/>
      <c r="Z124" s="7">
        <v>3</v>
      </c>
      <c r="AA124" s="8">
        <v>3</v>
      </c>
      <c r="AB124" s="9">
        <v>4</v>
      </c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42</v>
      </c>
      <c r="BI124" s="47">
        <f t="shared" si="15"/>
        <v>12.6</v>
      </c>
    </row>
    <row r="125" spans="1:61" x14ac:dyDescent="0.25">
      <c r="A125" s="42" t="s">
        <v>187</v>
      </c>
      <c r="B125" s="43">
        <v>6</v>
      </c>
      <c r="C125" s="42" t="s">
        <v>64</v>
      </c>
      <c r="D125" t="s">
        <v>51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>
        <v>6</v>
      </c>
      <c r="T125" s="10"/>
      <c r="U125" s="11">
        <v>2</v>
      </c>
      <c r="V125" s="12"/>
      <c r="W125" s="13">
        <v>5</v>
      </c>
      <c r="Y125" s="6"/>
      <c r="Z125" s="7"/>
      <c r="AA125" s="8"/>
      <c r="AB125" s="9">
        <v>5</v>
      </c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18</v>
      </c>
      <c r="BI125" s="47">
        <f t="shared" si="15"/>
        <v>5.3999999999999995</v>
      </c>
    </row>
    <row r="126" spans="1:61" x14ac:dyDescent="0.25">
      <c r="A126" s="42" t="s">
        <v>186</v>
      </c>
      <c r="B126" s="43">
        <v>6</v>
      </c>
      <c r="C126" s="42" t="s">
        <v>64</v>
      </c>
      <c r="D126" t="s">
        <v>51</v>
      </c>
      <c r="E126" s="6"/>
      <c r="F126" s="7">
        <v>2</v>
      </c>
      <c r="G126" s="8"/>
      <c r="H126" s="9"/>
      <c r="J126" s="10"/>
      <c r="K126" s="11"/>
      <c r="L126" s="12"/>
      <c r="M126" s="13"/>
      <c r="O126" s="6"/>
      <c r="P126" s="7"/>
      <c r="Q126" s="8"/>
      <c r="R126" s="9">
        <v>6</v>
      </c>
      <c r="T126" s="10"/>
      <c r="U126" s="11">
        <v>2</v>
      </c>
      <c r="V126" s="12"/>
      <c r="W126" s="13">
        <v>6</v>
      </c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16</v>
      </c>
      <c r="BI126" s="47">
        <f t="shared" si="15"/>
        <v>4.8</v>
      </c>
    </row>
    <row r="127" spans="1:61" x14ac:dyDescent="0.25">
      <c r="A127" s="42" t="s">
        <v>185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0</v>
      </c>
      <c r="BI127" s="47">
        <f t="shared" si="15"/>
        <v>0</v>
      </c>
    </row>
    <row r="128" spans="1:61" x14ac:dyDescent="0.25">
      <c r="A128" s="42" t="s">
        <v>371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>
        <v>1</v>
      </c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4"/>
        <v>1</v>
      </c>
      <c r="BI128" s="47">
        <f t="shared" si="15"/>
        <v>0.3</v>
      </c>
    </row>
    <row r="129" spans="1:61" x14ac:dyDescent="0.25">
      <c r="A129" s="42" t="s">
        <v>372</v>
      </c>
      <c r="B129" s="43">
        <v>8</v>
      </c>
      <c r="C129" s="42" t="s">
        <v>64</v>
      </c>
      <c r="D129" t="s">
        <v>61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>
        <v>4</v>
      </c>
      <c r="T129" s="10"/>
      <c r="U129" s="11"/>
      <c r="V129" s="12"/>
      <c r="W129" s="13">
        <v>7</v>
      </c>
      <c r="Y129" s="6">
        <v>3</v>
      </c>
      <c r="Z129" s="7">
        <v>2</v>
      </c>
      <c r="AA129" s="8">
        <v>3</v>
      </c>
      <c r="AB129" s="9">
        <v>7</v>
      </c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26</v>
      </c>
      <c r="BI129" s="47">
        <f t="shared" si="15"/>
        <v>7.8</v>
      </c>
    </row>
    <row r="130" spans="1:61" x14ac:dyDescent="0.25">
      <c r="A130" s="42" t="s">
        <v>373</v>
      </c>
      <c r="B130" s="43">
        <v>8</v>
      </c>
      <c r="C130" s="42" t="s">
        <v>64</v>
      </c>
      <c r="D130" t="s">
        <v>61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>
        <v>3</v>
      </c>
      <c r="T130" s="10"/>
      <c r="U130" s="11"/>
      <c r="V130" s="12"/>
      <c r="W130" s="13">
        <v>7</v>
      </c>
      <c r="Y130" s="6"/>
      <c r="Z130" s="7">
        <v>2</v>
      </c>
      <c r="AA130" s="8">
        <v>3</v>
      </c>
      <c r="AB130" s="9">
        <v>8</v>
      </c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ref="BH130" si="20">SUM(E130:BF130)</f>
        <v>23</v>
      </c>
      <c r="BI130" s="47">
        <f t="shared" ref="BI130" si="21">(SUM(E130:BG130)*$D$2)</f>
        <v>6.8999999999999995</v>
      </c>
    </row>
    <row r="131" spans="1:61" x14ac:dyDescent="0.25">
      <c r="A131" s="42" t="s">
        <v>182</v>
      </c>
      <c r="B131" s="43">
        <v>8</v>
      </c>
      <c r="C131" s="42" t="s">
        <v>64</v>
      </c>
      <c r="D131" t="s">
        <v>61</v>
      </c>
      <c r="E131" s="6">
        <v>3</v>
      </c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6</v>
      </c>
      <c r="T131" s="10"/>
      <c r="U131" s="11"/>
      <c r="V131" s="12"/>
      <c r="W131" s="13">
        <v>8</v>
      </c>
      <c r="Y131" s="6">
        <v>2</v>
      </c>
      <c r="Z131" s="7"/>
      <c r="AA131" s="8">
        <v>5</v>
      </c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24</v>
      </c>
      <c r="BI131" s="47">
        <f t="shared" si="15"/>
        <v>7.1999999999999993</v>
      </c>
    </row>
    <row r="132" spans="1:61" x14ac:dyDescent="0.25">
      <c r="A132" s="42" t="s">
        <v>181</v>
      </c>
      <c r="B132" s="43">
        <v>9</v>
      </c>
      <c r="C132" s="42" t="s">
        <v>64</v>
      </c>
      <c r="D132" t="s">
        <v>61</v>
      </c>
      <c r="E132" s="6"/>
      <c r="F132" s="7">
        <v>4</v>
      </c>
      <c r="G132" s="8"/>
      <c r="H132" s="9"/>
      <c r="J132" s="10"/>
      <c r="K132" s="11"/>
      <c r="L132" s="12">
        <v>2</v>
      </c>
      <c r="M132" s="13">
        <v>2</v>
      </c>
      <c r="O132" s="6"/>
      <c r="P132" s="7"/>
      <c r="Q132" s="8">
        <v>1</v>
      </c>
      <c r="R132" s="9">
        <v>10</v>
      </c>
      <c r="T132" s="10"/>
      <c r="U132" s="11">
        <v>1</v>
      </c>
      <c r="V132" s="12"/>
      <c r="W132" s="13">
        <v>7</v>
      </c>
      <c r="Y132" s="6"/>
      <c r="Z132" s="7">
        <v>5</v>
      </c>
      <c r="AA132" s="8">
        <v>2</v>
      </c>
      <c r="AB132" s="9">
        <v>2</v>
      </c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4"/>
        <v>36</v>
      </c>
      <c r="BI132" s="47">
        <f t="shared" si="15"/>
        <v>10.799999999999999</v>
      </c>
    </row>
    <row r="133" spans="1:61" x14ac:dyDescent="0.25">
      <c r="A133" s="42" t="s">
        <v>180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>
        <v>2</v>
      </c>
      <c r="T133" s="10"/>
      <c r="U133" s="11"/>
      <c r="V133" s="12"/>
      <c r="W133" s="13"/>
      <c r="Y133" s="6"/>
      <c r="Z133" s="7"/>
      <c r="AA133" s="8"/>
      <c r="AB133" s="9">
        <v>1</v>
      </c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3</v>
      </c>
      <c r="BI133" s="47">
        <f t="shared" si="15"/>
        <v>0.89999999999999991</v>
      </c>
    </row>
    <row r="134" spans="1:61" x14ac:dyDescent="0.25">
      <c r="A134" s="42" t="s">
        <v>374</v>
      </c>
      <c r="B134" s="43">
        <v>9</v>
      </c>
      <c r="C134" s="42" t="s">
        <v>64</v>
      </c>
      <c r="D134" t="s">
        <v>61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>
        <v>1</v>
      </c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1</v>
      </c>
      <c r="BI134" s="47">
        <f>(SUM(E134:BG134)*$D$2)</f>
        <v>0.3</v>
      </c>
    </row>
    <row r="135" spans="1:61" x14ac:dyDescent="0.25">
      <c r="A135" s="42" t="s">
        <v>233</v>
      </c>
      <c r="B135" s="43">
        <v>9</v>
      </c>
      <c r="C135" s="42" t="s">
        <v>64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0</v>
      </c>
      <c r="BI135" s="47">
        <f>(SUM(E135:BG135)*$D$2)</f>
        <v>0</v>
      </c>
    </row>
    <row r="136" spans="1:61" x14ac:dyDescent="0.25">
      <c r="A136" s="42" t="s">
        <v>178</v>
      </c>
      <c r="B136" s="43">
        <v>8</v>
      </c>
      <c r="C136" s="42" t="s">
        <v>64</v>
      </c>
      <c r="D136" t="s">
        <v>57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>
        <v>1</v>
      </c>
      <c r="T136" s="10"/>
      <c r="U136" s="11"/>
      <c r="V136" s="12"/>
      <c r="W136" s="13">
        <v>5</v>
      </c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6</v>
      </c>
      <c r="BI136" s="47">
        <f t="shared" si="15"/>
        <v>1.7999999999999998</v>
      </c>
    </row>
    <row r="137" spans="1:61" x14ac:dyDescent="0.25">
      <c r="A137" s="42" t="s">
        <v>177</v>
      </c>
      <c r="B137" s="43">
        <v>8</v>
      </c>
      <c r="C137" s="42" t="s">
        <v>64</v>
      </c>
      <c r="D137" t="s">
        <v>48</v>
      </c>
      <c r="E137" s="6"/>
      <c r="F137" s="7"/>
      <c r="G137" s="8"/>
      <c r="H137" s="9"/>
      <c r="J137" s="10"/>
      <c r="K137" s="11"/>
      <c r="L137" s="12">
        <v>1</v>
      </c>
      <c r="M137" s="13">
        <v>2</v>
      </c>
      <c r="O137" s="6"/>
      <c r="P137" s="7"/>
      <c r="Q137" s="8"/>
      <c r="R137" s="9">
        <v>3</v>
      </c>
      <c r="T137" s="10"/>
      <c r="U137" s="11"/>
      <c r="V137" s="12"/>
      <c r="W137" s="13">
        <v>4</v>
      </c>
      <c r="Y137" s="6"/>
      <c r="Z137" s="7"/>
      <c r="AA137" s="8">
        <v>2</v>
      </c>
      <c r="AB137" s="9">
        <v>3</v>
      </c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14"/>
        <v>15</v>
      </c>
      <c r="BI137" s="47">
        <f t="shared" si="15"/>
        <v>4.5</v>
      </c>
    </row>
    <row r="138" spans="1:61" x14ac:dyDescent="0.25">
      <c r="A138" s="42" t="s">
        <v>176</v>
      </c>
      <c r="B138" s="43">
        <v>9</v>
      </c>
      <c r="C138" s="42" t="s">
        <v>64</v>
      </c>
      <c r="D138" t="s">
        <v>48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>
        <v>1</v>
      </c>
      <c r="T138" s="10"/>
      <c r="U138" s="11"/>
      <c r="V138" s="12"/>
      <c r="W138" s="13"/>
      <c r="Y138" s="6"/>
      <c r="Z138" s="7"/>
      <c r="AA138" s="8"/>
      <c r="AB138" s="9">
        <v>1</v>
      </c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4"/>
        <v>2</v>
      </c>
      <c r="BI138" s="47">
        <f t="shared" si="15"/>
        <v>0.6</v>
      </c>
    </row>
    <row r="139" spans="1:61" x14ac:dyDescent="0.25">
      <c r="A139" s="42" t="s">
        <v>175</v>
      </c>
      <c r="B139" s="43">
        <v>1</v>
      </c>
      <c r="C139" s="42" t="s">
        <v>64</v>
      </c>
      <c r="D139" t="s">
        <v>62</v>
      </c>
      <c r="E139" s="6"/>
      <c r="F139" s="7">
        <v>3</v>
      </c>
      <c r="G139" s="8"/>
      <c r="H139" s="9"/>
      <c r="J139" s="10"/>
      <c r="K139" s="11"/>
      <c r="L139" s="12"/>
      <c r="M139" s="13"/>
      <c r="O139" s="6"/>
      <c r="P139" s="7"/>
      <c r="Q139" s="8"/>
      <c r="R139" s="9">
        <v>1</v>
      </c>
      <c r="T139" s="10"/>
      <c r="U139" s="11"/>
      <c r="V139" s="12"/>
      <c r="W139" s="13">
        <v>1</v>
      </c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ref="BH139:BH141" si="22">SUM(E139:BF139)</f>
        <v>5</v>
      </c>
      <c r="BI139" s="47">
        <f t="shared" ref="BI139:BI141" si="23">(SUM(E139:BG139)*$D$2)</f>
        <v>1.5</v>
      </c>
    </row>
    <row r="140" spans="1:61" x14ac:dyDescent="0.25">
      <c r="A140" s="42" t="s">
        <v>379</v>
      </c>
      <c r="B140" s="43">
        <v>1</v>
      </c>
      <c r="C140" s="42" t="s">
        <v>64</v>
      </c>
      <c r="D140" t="s">
        <v>62</v>
      </c>
      <c r="E140" s="6"/>
      <c r="F140" s="7">
        <v>1</v>
      </c>
      <c r="G140" s="8">
        <v>1</v>
      </c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>
        <v>1</v>
      </c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22"/>
        <v>3</v>
      </c>
      <c r="BI140" s="47">
        <f t="shared" si="23"/>
        <v>0.89999999999999991</v>
      </c>
    </row>
    <row r="141" spans="1:61" x14ac:dyDescent="0.25">
      <c r="A141" s="42" t="s">
        <v>380</v>
      </c>
      <c r="B141" s="43">
        <v>1</v>
      </c>
      <c r="C141" s="42" t="s">
        <v>64</v>
      </c>
      <c r="D141" t="s">
        <v>62</v>
      </c>
      <c r="E141" s="6">
        <v>1</v>
      </c>
      <c r="F141" s="7">
        <v>1</v>
      </c>
      <c r="G141" s="8">
        <v>1</v>
      </c>
      <c r="H141" s="9"/>
      <c r="J141" s="10"/>
      <c r="K141" s="11"/>
      <c r="L141" s="12"/>
      <c r="M141" s="13"/>
      <c r="O141" s="6"/>
      <c r="P141" s="7"/>
      <c r="Q141" s="8"/>
      <c r="R141" s="9">
        <v>2</v>
      </c>
      <c r="T141" s="10"/>
      <c r="U141" s="11"/>
      <c r="V141" s="12"/>
      <c r="W141" s="13">
        <v>2</v>
      </c>
      <c r="Y141" s="6">
        <v>2</v>
      </c>
      <c r="Z141" s="7">
        <v>3</v>
      </c>
      <c r="AA141" s="8"/>
      <c r="AB141" s="9">
        <v>3</v>
      </c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22"/>
        <v>15</v>
      </c>
      <c r="BI141" s="47">
        <f t="shared" si="23"/>
        <v>4.5</v>
      </c>
    </row>
    <row r="142" spans="1:61" x14ac:dyDescent="0.25">
      <c r="A142" s="42" t="s">
        <v>174</v>
      </c>
      <c r="B142" s="42" t="s">
        <v>53</v>
      </c>
      <c r="C142" s="42" t="s">
        <v>64</v>
      </c>
      <c r="D142" t="s">
        <v>54</v>
      </c>
      <c r="E142" s="6"/>
      <c r="F142" s="7">
        <v>4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>
        <v>3</v>
      </c>
      <c r="Y142" s="6"/>
      <c r="Z142" s="7"/>
      <c r="AA142" s="8"/>
      <c r="AB142" s="9">
        <v>3</v>
      </c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ref="BH142" si="24">SUM(E142:BF142)</f>
        <v>10</v>
      </c>
      <c r="BI142" s="47">
        <f t="shared" ref="BI142" si="25">(SUM(E142:BG142)*$D$2)</f>
        <v>3</v>
      </c>
    </row>
    <row r="143" spans="1:61" x14ac:dyDescent="0.25">
      <c r="A143" s="42" t="s">
        <v>375</v>
      </c>
      <c r="B143" s="42" t="s">
        <v>53</v>
      </c>
      <c r="C143" s="42" t="s">
        <v>64</v>
      </c>
      <c r="D143" t="s">
        <v>54</v>
      </c>
      <c r="E143" s="6"/>
      <c r="F143" s="7">
        <v>2</v>
      </c>
      <c r="G143" s="8"/>
      <c r="H143" s="9"/>
      <c r="J143" s="10"/>
      <c r="K143" s="11"/>
      <c r="L143" s="12"/>
      <c r="M143" s="13"/>
      <c r="O143" s="6"/>
      <c r="P143" s="7"/>
      <c r="Q143" s="8">
        <v>2</v>
      </c>
      <c r="R143" s="9"/>
      <c r="T143" s="10"/>
      <c r="U143" s="11">
        <v>1</v>
      </c>
      <c r="V143" s="12"/>
      <c r="W143" s="13">
        <v>3</v>
      </c>
      <c r="Y143" s="6"/>
      <c r="Z143" s="7">
        <v>1</v>
      </c>
      <c r="AA143" s="8"/>
      <c r="AB143" s="9">
        <v>1</v>
      </c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4"/>
        <v>10</v>
      </c>
      <c r="BI143" s="47">
        <f t="shared" si="15"/>
        <v>3</v>
      </c>
    </row>
    <row r="144" spans="1:61" x14ac:dyDescent="0.25">
      <c r="A144" s="42" t="s">
        <v>376</v>
      </c>
      <c r="B144" s="42" t="s">
        <v>53</v>
      </c>
      <c r="C144" s="42" t="s">
        <v>64</v>
      </c>
      <c r="D144" t="s">
        <v>54</v>
      </c>
      <c r="E144" s="6"/>
      <c r="F144" s="7">
        <v>3</v>
      </c>
      <c r="G144" s="8"/>
      <c r="H144" s="9"/>
      <c r="J144" s="10"/>
      <c r="K144" s="11"/>
      <c r="L144" s="12"/>
      <c r="M144" s="13"/>
      <c r="O144" s="6"/>
      <c r="P144" s="7"/>
      <c r="Q144" s="8"/>
      <c r="R144" s="9">
        <v>5</v>
      </c>
      <c r="T144" s="10"/>
      <c r="U144" s="11"/>
      <c r="V144" s="12"/>
      <c r="W144" s="13">
        <v>6</v>
      </c>
      <c r="Y144" s="6"/>
      <c r="Z144" s="7">
        <v>2</v>
      </c>
      <c r="AA144" s="8">
        <v>2</v>
      </c>
      <c r="AB144" s="9">
        <v>4</v>
      </c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4"/>
        <v>22</v>
      </c>
      <c r="BI144" s="47">
        <f t="shared" si="15"/>
        <v>6.6</v>
      </c>
    </row>
    <row r="145" spans="1:61" x14ac:dyDescent="0.25">
      <c r="A145" s="42" t="s">
        <v>349</v>
      </c>
      <c r="B145" s="42">
        <v>1</v>
      </c>
      <c r="C145" s="42" t="s">
        <v>64</v>
      </c>
      <c r="D145" s="50" t="s">
        <v>62</v>
      </c>
      <c r="E145" s="6"/>
      <c r="F145" s="7">
        <v>1</v>
      </c>
      <c r="G145" s="8">
        <v>1</v>
      </c>
      <c r="H145" s="9"/>
      <c r="J145" s="10"/>
      <c r="K145" s="11"/>
      <c r="L145" s="12"/>
      <c r="M145" s="13"/>
      <c r="O145" s="6"/>
      <c r="P145" s="7"/>
      <c r="Q145" s="8"/>
      <c r="R145" s="9">
        <v>1</v>
      </c>
      <c r="T145" s="10"/>
      <c r="U145" s="11"/>
      <c r="V145" s="12"/>
      <c r="W145" s="13">
        <v>1</v>
      </c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4</v>
      </c>
      <c r="BI145" s="47">
        <f t="shared" si="15"/>
        <v>1.2</v>
      </c>
    </row>
    <row r="146" spans="1:61" x14ac:dyDescent="0.25">
      <c r="A146" s="42" t="s">
        <v>382</v>
      </c>
      <c r="B146" s="42" t="s">
        <v>53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0</v>
      </c>
      <c r="BI146" s="47">
        <f t="shared" si="15"/>
        <v>0</v>
      </c>
    </row>
    <row r="147" spans="1:61" x14ac:dyDescent="0.25">
      <c r="A147" s="42" t="s">
        <v>346</v>
      </c>
      <c r="B147" s="42"/>
      <c r="C147" s="42" t="s">
        <v>64</v>
      </c>
      <c r="E147" s="6"/>
      <c r="F147" s="7">
        <v>2</v>
      </c>
      <c r="G147" s="8"/>
      <c r="H147" s="9"/>
      <c r="J147" s="10"/>
      <c r="K147" s="11"/>
      <c r="L147" s="12"/>
      <c r="M147" s="13"/>
      <c r="O147" s="6"/>
      <c r="P147" s="7"/>
      <c r="Q147" s="8"/>
      <c r="R147" s="9">
        <v>3</v>
      </c>
      <c r="T147" s="10"/>
      <c r="U147" s="11"/>
      <c r="V147" s="12"/>
      <c r="W147" s="13">
        <v>3</v>
      </c>
      <c r="Y147" s="6"/>
      <c r="Z147" s="7"/>
      <c r="AA147" s="8"/>
      <c r="AB147" s="9">
        <v>3</v>
      </c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11</v>
      </c>
      <c r="BI147" s="47">
        <f t="shared" si="15"/>
        <v>3.3</v>
      </c>
    </row>
    <row r="148" spans="1:61" x14ac:dyDescent="0.25">
      <c r="A148" s="42" t="s">
        <v>418</v>
      </c>
      <c r="B148" s="42">
        <v>5</v>
      </c>
      <c r="C148" s="42" t="s">
        <v>64</v>
      </c>
      <c r="E148" s="6"/>
      <c r="F148" s="7"/>
      <c r="G148" s="8"/>
      <c r="H148" s="9"/>
      <c r="J148" s="10"/>
      <c r="K148" s="11"/>
      <c r="L148" s="12"/>
      <c r="M148" s="13">
        <v>1</v>
      </c>
      <c r="O148" s="6">
        <v>5</v>
      </c>
      <c r="P148" s="7">
        <v>2</v>
      </c>
      <c r="Q148" s="8"/>
      <c r="R148" s="9">
        <v>3</v>
      </c>
      <c r="T148" s="10"/>
      <c r="U148" s="11"/>
      <c r="V148" s="12"/>
      <c r="W148" s="13"/>
      <c r="Y148" s="6"/>
      <c r="Z148" s="7"/>
      <c r="AA148" s="8"/>
      <c r="AB148" s="9">
        <v>2</v>
      </c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13</v>
      </c>
      <c r="BI148" s="47">
        <f t="shared" si="15"/>
        <v>3.9</v>
      </c>
    </row>
    <row r="149" spans="1:61" x14ac:dyDescent="0.25">
      <c r="A149" s="42" t="s">
        <v>350</v>
      </c>
      <c r="B149" s="42">
        <v>3</v>
      </c>
      <c r="C149" s="42" t="s">
        <v>64</v>
      </c>
      <c r="D149" t="s">
        <v>56</v>
      </c>
      <c r="E149" s="6"/>
      <c r="F149" s="7"/>
      <c r="G149" s="8">
        <v>2</v>
      </c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2</v>
      </c>
      <c r="BI149" s="47">
        <f t="shared" si="15"/>
        <v>0.6</v>
      </c>
    </row>
    <row r="150" spans="1:61" x14ac:dyDescent="0.25">
      <c r="A150" s="42" t="s">
        <v>429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>
        <v>1</v>
      </c>
      <c r="T150" s="10"/>
      <c r="U150" s="11">
        <v>2</v>
      </c>
      <c r="V150" s="12"/>
      <c r="W150" s="13">
        <v>4</v>
      </c>
      <c r="Y150" s="6"/>
      <c r="Z150" s="7">
        <v>4</v>
      </c>
      <c r="AA150" s="8">
        <v>3</v>
      </c>
      <c r="AB150" s="9">
        <v>3</v>
      </c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17</v>
      </c>
      <c r="BI150" s="47">
        <f t="shared" si="15"/>
        <v>5.0999999999999996</v>
      </c>
    </row>
    <row r="151" spans="1:61" x14ac:dyDescent="0.25">
      <c r="A151" s="42" t="s">
        <v>430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>
        <v>6</v>
      </c>
      <c r="T151" s="10"/>
      <c r="U151" s="11"/>
      <c r="V151" s="12"/>
      <c r="W151" s="13"/>
      <c r="Y151" s="6"/>
      <c r="Z151" s="7">
        <v>1</v>
      </c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7</v>
      </c>
      <c r="BI151" s="47">
        <f t="shared" si="15"/>
        <v>2.1</v>
      </c>
    </row>
    <row r="152" spans="1:61" x14ac:dyDescent="0.25">
      <c r="A152" s="42" t="s">
        <v>431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4</v>
      </c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4</v>
      </c>
      <c r="BI152" s="47">
        <f t="shared" si="15"/>
        <v>1.2</v>
      </c>
    </row>
    <row r="153" spans="1:61" x14ac:dyDescent="0.25">
      <c r="A153" s="42" t="s">
        <v>432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5</v>
      </c>
      <c r="T153" s="10"/>
      <c r="U153" s="11"/>
      <c r="V153" s="12"/>
      <c r="W153" s="13">
        <v>7</v>
      </c>
      <c r="Y153" s="6"/>
      <c r="Z153" s="7"/>
      <c r="AA153" s="8"/>
      <c r="AB153" s="9">
        <v>5</v>
      </c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14"/>
        <v>17</v>
      </c>
      <c r="BI153" s="47">
        <f t="shared" si="15"/>
        <v>5.0999999999999996</v>
      </c>
    </row>
    <row r="154" spans="1:61" x14ac:dyDescent="0.25">
      <c r="A154" s="42" t="s">
        <v>433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>
        <v>6</v>
      </c>
      <c r="T154" s="10"/>
      <c r="U154" s="11"/>
      <c r="V154" s="12"/>
      <c r="W154" s="13"/>
      <c r="Y154" s="6">
        <v>1</v>
      </c>
      <c r="Z154" s="7">
        <v>4</v>
      </c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14"/>
        <v>11</v>
      </c>
      <c r="BI154" s="47">
        <f t="shared" si="15"/>
        <v>3.3</v>
      </c>
    </row>
    <row r="155" spans="1:61" x14ac:dyDescent="0.25">
      <c r="A155" s="42" t="s">
        <v>383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>
        <v>3</v>
      </c>
      <c r="T155" s="10"/>
      <c r="U155" s="11"/>
      <c r="V155" s="12"/>
      <c r="W155" s="13"/>
      <c r="Y155" s="6"/>
      <c r="Z155" s="7"/>
      <c r="AA155" s="8"/>
      <c r="AB155" s="9">
        <v>1</v>
      </c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ref="BH155:BH158" si="26">SUM(E155:BF155)</f>
        <v>4</v>
      </c>
      <c r="BI155" s="47">
        <f t="shared" ref="BI155:BI158" si="27">(SUM(E155:BG155)*$D$2)</f>
        <v>1.2</v>
      </c>
    </row>
    <row r="156" spans="1:61" x14ac:dyDescent="0.25">
      <c r="A156" s="42" t="s">
        <v>442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>
        <v>2</v>
      </c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6"/>
        <v>2</v>
      </c>
      <c r="BI156" s="47">
        <f t="shared" si="27"/>
        <v>0.6</v>
      </c>
    </row>
    <row r="157" spans="1:61" x14ac:dyDescent="0.25">
      <c r="A157" s="42" t="s">
        <v>443</v>
      </c>
      <c r="B157" s="42"/>
      <c r="C157" s="42" t="s">
        <v>64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>
        <v>1</v>
      </c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26"/>
        <v>1</v>
      </c>
      <c r="BI157" s="47">
        <f t="shared" si="27"/>
        <v>0.3</v>
      </c>
    </row>
    <row r="158" spans="1:61" x14ac:dyDescent="0.25">
      <c r="A158" s="42" t="s">
        <v>450</v>
      </c>
      <c r="B158" s="42"/>
      <c r="C158" s="42" t="s">
        <v>64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>
        <v>2</v>
      </c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26"/>
        <v>2</v>
      </c>
      <c r="BI158" s="47">
        <f t="shared" si="27"/>
        <v>0.6</v>
      </c>
    </row>
    <row r="159" spans="1:61" x14ac:dyDescent="0.25">
      <c r="A159" s="42" t="s">
        <v>455</v>
      </c>
      <c r="B159" s="42"/>
      <c r="C159" s="42" t="s">
        <v>64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>
        <v>1</v>
      </c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4"/>
        <v>1</v>
      </c>
      <c r="BI159" s="47">
        <f t="shared" si="15"/>
        <v>0.3</v>
      </c>
    </row>
    <row r="160" spans="1:61" x14ac:dyDescent="0.25"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/>
      <c r="BI160" s="47"/>
    </row>
    <row r="161" spans="1:61" x14ac:dyDescent="0.25">
      <c r="A161" s="40" t="s">
        <v>279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4"/>
        <v>0</v>
      </c>
      <c r="BI161" s="47">
        <f t="shared" si="15"/>
        <v>0</v>
      </c>
    </row>
    <row r="162" spans="1:61" x14ac:dyDescent="0.25">
      <c r="A162" s="40" t="s">
        <v>384</v>
      </c>
      <c r="B162" s="41">
        <v>2</v>
      </c>
      <c r="C162" s="40" t="s">
        <v>66</v>
      </c>
      <c r="D162" t="s">
        <v>52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>
        <v>1</v>
      </c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4"/>
        <v>1</v>
      </c>
      <c r="BI162" s="47">
        <f t="shared" si="15"/>
        <v>0.3</v>
      </c>
    </row>
    <row r="163" spans="1:61" x14ac:dyDescent="0.25">
      <c r="A163" s="40" t="s">
        <v>281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>
        <v>8</v>
      </c>
      <c r="T163" s="10"/>
      <c r="U163" s="11">
        <v>5</v>
      </c>
      <c r="V163" s="12"/>
      <c r="W163" s="13">
        <v>9</v>
      </c>
      <c r="Y163" s="6">
        <v>7</v>
      </c>
      <c r="Z163" s="7"/>
      <c r="AA163" s="8">
        <v>5</v>
      </c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34</v>
      </c>
      <c r="BI163" s="47">
        <f t="shared" si="15"/>
        <v>10.199999999999999</v>
      </c>
    </row>
    <row r="164" spans="1:61" x14ac:dyDescent="0.25">
      <c r="A164" s="40" t="s">
        <v>282</v>
      </c>
      <c r="B164" s="41">
        <v>2</v>
      </c>
      <c r="C164" s="40" t="s">
        <v>66</v>
      </c>
      <c r="D164" t="s">
        <v>52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>
        <v>8</v>
      </c>
      <c r="T164" s="10"/>
      <c r="U164" s="11">
        <v>5</v>
      </c>
      <c r="V164" s="12"/>
      <c r="W164" s="13">
        <v>10</v>
      </c>
      <c r="Y164" s="6">
        <v>7</v>
      </c>
      <c r="Z164" s="7"/>
      <c r="AA164" s="8"/>
      <c r="AB164" s="9">
        <v>11</v>
      </c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4"/>
        <v>41</v>
      </c>
      <c r="BI164" s="47">
        <f t="shared" si="15"/>
        <v>12.299999999999999</v>
      </c>
    </row>
    <row r="165" spans="1:61" x14ac:dyDescent="0.25">
      <c r="A165" s="40" t="s">
        <v>215</v>
      </c>
      <c r="B165" s="41">
        <v>2</v>
      </c>
      <c r="C165" s="40" t="s">
        <v>66</v>
      </c>
      <c r="D165" t="s">
        <v>52</v>
      </c>
      <c r="E165" s="6">
        <v>5</v>
      </c>
      <c r="F165" s="7">
        <v>5</v>
      </c>
      <c r="G165" s="8">
        <v>5</v>
      </c>
      <c r="H165" s="9">
        <v>4</v>
      </c>
      <c r="J165" s="10"/>
      <c r="K165" s="11"/>
      <c r="L165" s="12">
        <v>4</v>
      </c>
      <c r="M165" s="13"/>
      <c r="O165" s="6"/>
      <c r="P165" s="7"/>
      <c r="Q165" s="8"/>
      <c r="R165" s="9">
        <v>8</v>
      </c>
      <c r="T165" s="10"/>
      <c r="U165" s="11">
        <v>3</v>
      </c>
      <c r="V165" s="12"/>
      <c r="W165" s="13">
        <v>5</v>
      </c>
      <c r="Y165" s="6"/>
      <c r="Z165" s="7"/>
      <c r="AA165" s="8"/>
      <c r="AB165" s="9">
        <v>10</v>
      </c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49</v>
      </c>
      <c r="BI165" s="47">
        <f t="shared" si="15"/>
        <v>14.7</v>
      </c>
    </row>
    <row r="166" spans="1:61" x14ac:dyDescent="0.25">
      <c r="A166" s="40" t="s">
        <v>327</v>
      </c>
      <c r="B166" s="41">
        <v>2</v>
      </c>
      <c r="C166" s="40" t="s">
        <v>66</v>
      </c>
      <c r="D166" t="s">
        <v>52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0</v>
      </c>
      <c r="BI166" s="47">
        <f t="shared" si="15"/>
        <v>0</v>
      </c>
    </row>
    <row r="167" spans="1:61" x14ac:dyDescent="0.25">
      <c r="A167" s="40" t="s">
        <v>326</v>
      </c>
      <c r="B167" s="41">
        <v>10</v>
      </c>
      <c r="C167" s="40" t="s">
        <v>66</v>
      </c>
      <c r="D167" t="s">
        <v>59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>
        <v>1</v>
      </c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1</v>
      </c>
      <c r="BI167" s="47">
        <f t="shared" si="15"/>
        <v>0.3</v>
      </c>
    </row>
    <row r="168" spans="1:61" x14ac:dyDescent="0.25">
      <c r="A168" s="40" t="s">
        <v>385</v>
      </c>
      <c r="B168" s="41">
        <v>10</v>
      </c>
      <c r="C168" s="40" t="s">
        <v>66</v>
      </c>
      <c r="D168" t="s">
        <v>59</v>
      </c>
      <c r="E168" s="6"/>
      <c r="F168" s="7">
        <v>4</v>
      </c>
      <c r="G168" s="8"/>
      <c r="H168" s="9"/>
      <c r="J168" s="10"/>
      <c r="K168" s="11"/>
      <c r="L168" s="12"/>
      <c r="M168" s="13"/>
      <c r="O168" s="6"/>
      <c r="P168" s="7">
        <v>3</v>
      </c>
      <c r="Q168" s="8">
        <v>7</v>
      </c>
      <c r="R168" s="9">
        <v>8</v>
      </c>
      <c r="T168" s="10"/>
      <c r="U168" s="11"/>
      <c r="V168" s="12"/>
      <c r="W168" s="13"/>
      <c r="Y168" s="6">
        <v>8</v>
      </c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30</v>
      </c>
      <c r="BI168" s="47">
        <f t="shared" si="15"/>
        <v>9</v>
      </c>
    </row>
    <row r="169" spans="1:61" x14ac:dyDescent="0.25">
      <c r="A169" s="40" t="s">
        <v>325</v>
      </c>
      <c r="B169" s="41">
        <v>3</v>
      </c>
      <c r="C169" s="40" t="s">
        <v>66</v>
      </c>
      <c r="D169" t="s">
        <v>56</v>
      </c>
      <c r="E169" s="6"/>
      <c r="F169" s="7">
        <v>4</v>
      </c>
      <c r="G169" s="8">
        <v>6</v>
      </c>
      <c r="H169" s="9"/>
      <c r="J169" s="10"/>
      <c r="K169" s="11"/>
      <c r="L169" s="12"/>
      <c r="M169" s="13">
        <v>8</v>
      </c>
      <c r="O169" s="6">
        <v>8</v>
      </c>
      <c r="P169" s="7">
        <v>3</v>
      </c>
      <c r="Q169" s="8">
        <v>5</v>
      </c>
      <c r="R169" s="9">
        <v>2</v>
      </c>
      <c r="T169" s="10"/>
      <c r="U169" s="11">
        <v>6</v>
      </c>
      <c r="V169" s="12"/>
      <c r="W169" s="13">
        <v>8</v>
      </c>
      <c r="Y169" s="6">
        <v>4</v>
      </c>
      <c r="Z169" s="7"/>
      <c r="AA169" s="8"/>
      <c r="AB169" s="9">
        <v>8</v>
      </c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62</v>
      </c>
      <c r="BI169" s="47">
        <f t="shared" si="15"/>
        <v>18.599999999999998</v>
      </c>
    </row>
    <row r="170" spans="1:61" x14ac:dyDescent="0.25">
      <c r="A170" s="40" t="s">
        <v>386</v>
      </c>
      <c r="B170" s="41">
        <v>3</v>
      </c>
      <c r="C170" s="40" t="s">
        <v>66</v>
      </c>
      <c r="D170" t="s">
        <v>56</v>
      </c>
      <c r="E170" s="6"/>
      <c r="F170" s="7">
        <v>4</v>
      </c>
      <c r="G170" s="8"/>
      <c r="H170" s="9"/>
      <c r="J170" s="10"/>
      <c r="K170" s="11"/>
      <c r="L170" s="12">
        <v>2</v>
      </c>
      <c r="M170" s="13"/>
      <c r="O170" s="6"/>
      <c r="P170" s="7"/>
      <c r="Q170" s="8"/>
      <c r="R170" s="9">
        <v>6</v>
      </c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14"/>
        <v>12</v>
      </c>
      <c r="BI170" s="47">
        <f t="shared" si="15"/>
        <v>3.5999999999999996</v>
      </c>
    </row>
    <row r="171" spans="1:61" x14ac:dyDescent="0.25">
      <c r="A171" s="40" t="s">
        <v>323</v>
      </c>
      <c r="B171" s="41">
        <v>3</v>
      </c>
      <c r="C171" s="40" t="s">
        <v>66</v>
      </c>
      <c r="D171" t="s">
        <v>56</v>
      </c>
      <c r="E171" s="6"/>
      <c r="F171" s="7">
        <v>2</v>
      </c>
      <c r="G171" s="8">
        <v>3</v>
      </c>
      <c r="H171" s="9">
        <v>2</v>
      </c>
      <c r="J171" s="10"/>
      <c r="K171" s="11"/>
      <c r="L171" s="12"/>
      <c r="M171" s="13"/>
      <c r="O171" s="6"/>
      <c r="P171" s="7"/>
      <c r="Q171" s="8"/>
      <c r="R171" s="9">
        <v>5</v>
      </c>
      <c r="T171" s="10"/>
      <c r="U171" s="11"/>
      <c r="V171" s="12"/>
      <c r="W171" s="13">
        <v>4</v>
      </c>
      <c r="Y171" s="6"/>
      <c r="Z171" s="7"/>
      <c r="AA171" s="8"/>
      <c r="AB171" s="9">
        <v>4</v>
      </c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14"/>
        <v>20</v>
      </c>
      <c r="BI171" s="47">
        <f t="shared" si="15"/>
        <v>6</v>
      </c>
    </row>
    <row r="172" spans="1:61" x14ac:dyDescent="0.25">
      <c r="A172" s="40" t="s">
        <v>322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>
        <v>5</v>
      </c>
      <c r="J172" s="10"/>
      <c r="K172" s="11"/>
      <c r="L172" s="12"/>
      <c r="M172" s="13">
        <v>4</v>
      </c>
      <c r="O172" s="6"/>
      <c r="P172" s="7"/>
      <c r="Q172" s="8"/>
      <c r="R172" s="9">
        <v>1</v>
      </c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14"/>
        <v>10</v>
      </c>
      <c r="BI172" s="47">
        <f t="shared" si="15"/>
        <v>3</v>
      </c>
    </row>
    <row r="173" spans="1:61" x14ac:dyDescent="0.25">
      <c r="A173" s="40" t="s">
        <v>321</v>
      </c>
      <c r="B173" s="41">
        <v>3</v>
      </c>
      <c r="C173" s="40" t="s">
        <v>66</v>
      </c>
      <c r="D173" t="s">
        <v>56</v>
      </c>
      <c r="E173" s="6"/>
      <c r="F173" s="7">
        <v>3</v>
      </c>
      <c r="G173" s="8">
        <v>4</v>
      </c>
      <c r="H173" s="9">
        <v>6</v>
      </c>
      <c r="J173" s="10"/>
      <c r="K173" s="11"/>
      <c r="L173" s="12">
        <v>6</v>
      </c>
      <c r="M173" s="13">
        <v>4</v>
      </c>
      <c r="O173" s="6">
        <v>4</v>
      </c>
      <c r="P173" s="7">
        <v>4</v>
      </c>
      <c r="Q173" s="8">
        <v>4</v>
      </c>
      <c r="R173" s="9">
        <v>4</v>
      </c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ref="BH173:BH223" si="28">SUM(E173:BF173)</f>
        <v>39</v>
      </c>
      <c r="BI173" s="47">
        <f t="shared" ref="BI173:BI223" si="29">(SUM(E173:BG173)*$D$2)</f>
        <v>11.7</v>
      </c>
    </row>
    <row r="174" spans="1:61" x14ac:dyDescent="0.25">
      <c r="A174" s="40" t="s">
        <v>387</v>
      </c>
      <c r="B174" s="41">
        <v>3</v>
      </c>
      <c r="C174" s="40" t="s">
        <v>66</v>
      </c>
      <c r="D174" t="s">
        <v>56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ref="BH174" si="30">SUM(E174:BF174)</f>
        <v>0</v>
      </c>
      <c r="BI174" s="47">
        <f t="shared" ref="BI174" si="31">(SUM(E174:BG174)*$D$2)</f>
        <v>0</v>
      </c>
    </row>
    <row r="175" spans="1:61" x14ac:dyDescent="0.25">
      <c r="A175" s="40" t="s">
        <v>422</v>
      </c>
      <c r="B175" s="41">
        <v>3</v>
      </c>
      <c r="C175" s="40" t="s">
        <v>66</v>
      </c>
      <c r="D175" t="s">
        <v>56</v>
      </c>
      <c r="E175" s="6"/>
      <c r="F175" s="7"/>
      <c r="G175" s="8"/>
      <c r="H175" s="9"/>
      <c r="J175" s="10"/>
      <c r="K175" s="11"/>
      <c r="L175" s="12"/>
      <c r="M175" s="13"/>
      <c r="O175" s="6">
        <v>3</v>
      </c>
      <c r="P175" s="7">
        <v>4</v>
      </c>
      <c r="Q175" s="8">
        <v>4</v>
      </c>
      <c r="R175" s="9">
        <v>6</v>
      </c>
      <c r="T175" s="10"/>
      <c r="U175" s="11">
        <v>4</v>
      </c>
      <c r="V175" s="12"/>
      <c r="W175" s="13">
        <v>5</v>
      </c>
      <c r="Y175" s="6">
        <v>4</v>
      </c>
      <c r="Z175" s="7">
        <v>4</v>
      </c>
      <c r="AA175" s="8"/>
      <c r="AB175" s="9">
        <v>5</v>
      </c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8"/>
        <v>39</v>
      </c>
      <c r="BI175" s="47">
        <f t="shared" si="29"/>
        <v>11.7</v>
      </c>
    </row>
    <row r="176" spans="1:61" x14ac:dyDescent="0.25">
      <c r="A176" s="40" t="s">
        <v>319</v>
      </c>
      <c r="B176" s="41">
        <v>4</v>
      </c>
      <c r="C176" s="40" t="s">
        <v>66</v>
      </c>
      <c r="D176" t="s">
        <v>58</v>
      </c>
      <c r="E176" s="6">
        <v>4</v>
      </c>
      <c r="F176" s="7">
        <v>4</v>
      </c>
      <c r="G176" s="8"/>
      <c r="H176" s="9">
        <v>4</v>
      </c>
      <c r="J176" s="10"/>
      <c r="K176" s="11"/>
      <c r="L176" s="12">
        <v>3</v>
      </c>
      <c r="M176" s="13">
        <v>4</v>
      </c>
      <c r="O176" s="6">
        <v>4</v>
      </c>
      <c r="P176" s="7">
        <v>4</v>
      </c>
      <c r="Q176" s="8">
        <v>4</v>
      </c>
      <c r="R176" s="9">
        <v>10</v>
      </c>
      <c r="T176" s="10"/>
      <c r="U176" s="11"/>
      <c r="V176" s="12"/>
      <c r="W176" s="13">
        <v>12</v>
      </c>
      <c r="Y176" s="6"/>
      <c r="Z176" s="7"/>
      <c r="AA176" s="8"/>
      <c r="AB176" s="9">
        <v>7</v>
      </c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8"/>
        <v>60</v>
      </c>
      <c r="BI176" s="47">
        <f t="shared" si="29"/>
        <v>18</v>
      </c>
    </row>
    <row r="177" spans="1:61" x14ac:dyDescent="0.25">
      <c r="A177" s="40" t="s">
        <v>318</v>
      </c>
      <c r="B177" s="41">
        <v>4</v>
      </c>
      <c r="C177" s="40" t="s">
        <v>66</v>
      </c>
      <c r="D177" t="s">
        <v>58</v>
      </c>
      <c r="E177" s="6">
        <v>4</v>
      </c>
      <c r="F177" s="7">
        <v>4</v>
      </c>
      <c r="G177" s="8">
        <v>4</v>
      </c>
      <c r="H177" s="9">
        <v>4</v>
      </c>
      <c r="J177" s="10"/>
      <c r="K177" s="11"/>
      <c r="L177" s="12"/>
      <c r="M177" s="13"/>
      <c r="O177" s="6">
        <v>5</v>
      </c>
      <c r="P177" s="7">
        <v>4</v>
      </c>
      <c r="Q177" s="8"/>
      <c r="R177" s="9">
        <v>9</v>
      </c>
      <c r="T177" s="10"/>
      <c r="U177" s="11"/>
      <c r="V177" s="12"/>
      <c r="W177" s="13">
        <v>4</v>
      </c>
      <c r="Y177" s="6"/>
      <c r="Z177" s="7"/>
      <c r="AA177" s="8"/>
      <c r="AB177" s="9">
        <v>6</v>
      </c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8"/>
        <v>44</v>
      </c>
      <c r="BI177" s="47">
        <f t="shared" si="29"/>
        <v>13.2</v>
      </c>
    </row>
    <row r="178" spans="1:61" x14ac:dyDescent="0.25">
      <c r="A178" s="40" t="s">
        <v>317</v>
      </c>
      <c r="B178" s="41">
        <v>5</v>
      </c>
      <c r="C178" s="40" t="s">
        <v>66</v>
      </c>
      <c r="D178" t="s">
        <v>58</v>
      </c>
      <c r="E178" s="6"/>
      <c r="F178" s="7"/>
      <c r="G178" s="8"/>
      <c r="H178" s="9">
        <v>2</v>
      </c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8"/>
        <v>2</v>
      </c>
      <c r="BI178" s="47">
        <f t="shared" si="29"/>
        <v>0.6</v>
      </c>
    </row>
    <row r="179" spans="1:61" x14ac:dyDescent="0.25">
      <c r="A179" s="40" t="s">
        <v>316</v>
      </c>
      <c r="B179" s="41">
        <v>5</v>
      </c>
      <c r="C179" s="40" t="s">
        <v>66</v>
      </c>
      <c r="D179" t="s">
        <v>58</v>
      </c>
      <c r="E179" s="6"/>
      <c r="F179" s="7"/>
      <c r="G179" s="8">
        <v>3</v>
      </c>
      <c r="H179" s="9"/>
      <c r="J179" s="10"/>
      <c r="K179" s="11"/>
      <c r="L179" s="12"/>
      <c r="M179" s="13"/>
      <c r="O179" s="6"/>
      <c r="P179" s="7"/>
      <c r="Q179" s="8"/>
      <c r="R179" s="9">
        <v>4</v>
      </c>
      <c r="T179" s="10"/>
      <c r="U179" s="11"/>
      <c r="V179" s="12"/>
      <c r="W179" s="13">
        <v>5</v>
      </c>
      <c r="Y179" s="6"/>
      <c r="Z179" s="7"/>
      <c r="AA179" s="8"/>
      <c r="AB179" s="9">
        <v>7</v>
      </c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ref="BH179" si="32">SUM(E179:BF179)</f>
        <v>19</v>
      </c>
      <c r="BI179" s="47">
        <f t="shared" ref="BI179" si="33">(SUM(E179:BG179)*$D$2)</f>
        <v>5.7</v>
      </c>
    </row>
    <row r="180" spans="1:61" x14ac:dyDescent="0.25">
      <c r="A180" s="40" t="s">
        <v>424</v>
      </c>
      <c r="B180" s="41">
        <v>5</v>
      </c>
      <c r="C180" s="40" t="s">
        <v>66</v>
      </c>
      <c r="D180" t="s">
        <v>58</v>
      </c>
      <c r="E180" s="6"/>
      <c r="F180" s="7"/>
      <c r="G180" s="8"/>
      <c r="H180" s="9"/>
      <c r="J180" s="10"/>
      <c r="K180" s="11"/>
      <c r="L180" s="12"/>
      <c r="M180" s="13"/>
      <c r="O180" s="6"/>
      <c r="P180" s="7">
        <v>1</v>
      </c>
      <c r="Q180" s="8"/>
      <c r="R180" s="9">
        <v>3</v>
      </c>
      <c r="T180" s="10"/>
      <c r="U180" s="11"/>
      <c r="V180" s="12"/>
      <c r="W180" s="13"/>
      <c r="Y180" s="6"/>
      <c r="Z180" s="7">
        <v>1</v>
      </c>
      <c r="AA180" s="8"/>
      <c r="AB180" s="9">
        <v>3</v>
      </c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8</v>
      </c>
      <c r="BI180" s="47">
        <f t="shared" si="29"/>
        <v>2.4</v>
      </c>
    </row>
    <row r="181" spans="1:61" x14ac:dyDescent="0.25">
      <c r="A181" s="40" t="s">
        <v>315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>
        <v>2</v>
      </c>
      <c r="J181" s="10"/>
      <c r="K181" s="11"/>
      <c r="L181" s="12"/>
      <c r="M181" s="13"/>
      <c r="O181" s="6"/>
      <c r="P181" s="7"/>
      <c r="Q181" s="8"/>
      <c r="R181" s="9">
        <v>5</v>
      </c>
      <c r="T181" s="10"/>
      <c r="U181" s="11"/>
      <c r="V181" s="12"/>
      <c r="W181" s="13">
        <v>7</v>
      </c>
      <c r="Y181" s="6">
        <v>1</v>
      </c>
      <c r="Z181" s="7"/>
      <c r="AA181" s="8">
        <v>1</v>
      </c>
      <c r="AB181" s="9">
        <v>6</v>
      </c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22</v>
      </c>
      <c r="BI181" s="47">
        <f t="shared" si="29"/>
        <v>6.6</v>
      </c>
    </row>
    <row r="182" spans="1:61" x14ac:dyDescent="0.25">
      <c r="A182" s="40" t="s">
        <v>314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/>
      <c r="J182" s="10"/>
      <c r="K182" s="11"/>
      <c r="L182" s="12"/>
      <c r="M182" s="13"/>
      <c r="O182" s="6"/>
      <c r="P182" s="7">
        <v>2</v>
      </c>
      <c r="Q182" s="8">
        <v>6</v>
      </c>
      <c r="R182" s="9">
        <v>8</v>
      </c>
      <c r="T182" s="10"/>
      <c r="U182" s="11"/>
      <c r="V182" s="12"/>
      <c r="W182" s="13">
        <v>9</v>
      </c>
      <c r="Y182" s="6"/>
      <c r="Z182" s="7"/>
      <c r="AA182" s="8"/>
      <c r="AB182" s="9">
        <v>1</v>
      </c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26</v>
      </c>
      <c r="BI182" s="47">
        <f t="shared" si="29"/>
        <v>7.8</v>
      </c>
    </row>
    <row r="183" spans="1:61" x14ac:dyDescent="0.25">
      <c r="A183" s="40" t="s">
        <v>313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>
        <v>3</v>
      </c>
      <c r="J183" s="10"/>
      <c r="K183" s="11"/>
      <c r="L183" s="12"/>
      <c r="M183" s="13"/>
      <c r="O183" s="6">
        <v>2</v>
      </c>
      <c r="P183" s="7">
        <v>3</v>
      </c>
      <c r="Q183" s="8">
        <v>2</v>
      </c>
      <c r="R183" s="9">
        <v>9</v>
      </c>
      <c r="T183" s="10"/>
      <c r="U183" s="11">
        <v>5</v>
      </c>
      <c r="V183" s="12"/>
      <c r="W183" s="13">
        <v>7</v>
      </c>
      <c r="Y183" s="6"/>
      <c r="Z183" s="7">
        <v>2</v>
      </c>
      <c r="AA183" s="8">
        <v>3</v>
      </c>
      <c r="AB183" s="9">
        <v>8</v>
      </c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8"/>
        <v>44</v>
      </c>
      <c r="BI183" s="47">
        <f t="shared" si="29"/>
        <v>13.2</v>
      </c>
    </row>
    <row r="184" spans="1:61" x14ac:dyDescent="0.25">
      <c r="A184" s="40" t="s">
        <v>388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>
        <v>6</v>
      </c>
      <c r="J184" s="10"/>
      <c r="K184" s="11"/>
      <c r="L184" s="12">
        <v>2</v>
      </c>
      <c r="M184" s="13"/>
      <c r="O184" s="6"/>
      <c r="P184" s="7"/>
      <c r="Q184" s="8"/>
      <c r="R184" s="9">
        <v>8</v>
      </c>
      <c r="T184" s="10"/>
      <c r="U184" s="11"/>
      <c r="V184" s="12"/>
      <c r="W184" s="13">
        <v>4</v>
      </c>
      <c r="Y184" s="6"/>
      <c r="Z184" s="7"/>
      <c r="AA184" s="8"/>
      <c r="AB184" s="9">
        <v>7</v>
      </c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27</v>
      </c>
      <c r="BI184" s="47">
        <f t="shared" si="29"/>
        <v>8.1</v>
      </c>
    </row>
    <row r="185" spans="1:61" x14ac:dyDescent="0.25">
      <c r="A185" s="40" t="s">
        <v>311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>
        <v>3</v>
      </c>
      <c r="J185" s="10"/>
      <c r="K185" s="11"/>
      <c r="L185" s="12"/>
      <c r="M185" s="13"/>
      <c r="O185" s="6"/>
      <c r="P185" s="7"/>
      <c r="Q185" s="8"/>
      <c r="R185" s="9">
        <v>7</v>
      </c>
      <c r="T185" s="10"/>
      <c r="U185" s="11"/>
      <c r="V185" s="12"/>
      <c r="W185" s="13">
        <v>9</v>
      </c>
      <c r="Y185" s="6">
        <v>6</v>
      </c>
      <c r="Z185" s="7"/>
      <c r="AA185" s="8">
        <v>1</v>
      </c>
      <c r="AB185" s="9">
        <v>7</v>
      </c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8"/>
        <v>33</v>
      </c>
      <c r="BI185" s="47">
        <f t="shared" si="29"/>
        <v>9.9</v>
      </c>
    </row>
    <row r="186" spans="1:61" x14ac:dyDescent="0.25">
      <c r="A186" s="40" t="s">
        <v>310</v>
      </c>
      <c r="B186" s="41">
        <v>4</v>
      </c>
      <c r="C186" s="40" t="s">
        <v>66</v>
      </c>
      <c r="D186" t="s">
        <v>55</v>
      </c>
      <c r="E186" s="6"/>
      <c r="F186" s="7"/>
      <c r="G186" s="8"/>
      <c r="H186" s="9">
        <v>3</v>
      </c>
      <c r="J186" s="10"/>
      <c r="K186" s="11"/>
      <c r="L186" s="12"/>
      <c r="M186" s="13"/>
      <c r="O186" s="6"/>
      <c r="P186" s="7"/>
      <c r="Q186" s="8"/>
      <c r="R186" s="9">
        <v>1</v>
      </c>
      <c r="T186" s="10"/>
      <c r="U186" s="11"/>
      <c r="V186" s="12"/>
      <c r="W186" s="13">
        <v>7</v>
      </c>
      <c r="Y186" s="6"/>
      <c r="Z186" s="7"/>
      <c r="AA186" s="8"/>
      <c r="AB186" s="9">
        <v>3</v>
      </c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14</v>
      </c>
      <c r="BI186" s="47">
        <f t="shared" si="29"/>
        <v>4.2</v>
      </c>
    </row>
    <row r="187" spans="1:61" x14ac:dyDescent="0.25">
      <c r="A187" s="40" t="s">
        <v>309</v>
      </c>
      <c r="B187" s="41">
        <v>4</v>
      </c>
      <c r="C187" s="40" t="s">
        <v>66</v>
      </c>
      <c r="D187" t="s">
        <v>55</v>
      </c>
      <c r="E187" s="6"/>
      <c r="F187" s="7"/>
      <c r="G187" s="8"/>
      <c r="H187" s="9"/>
      <c r="J187" s="10"/>
      <c r="K187" s="11"/>
      <c r="L187" s="12"/>
      <c r="M187" s="13"/>
      <c r="O187" s="6"/>
      <c r="P187" s="7"/>
      <c r="Q187" s="8"/>
      <c r="R187" s="9"/>
      <c r="T187" s="10"/>
      <c r="U187" s="11"/>
      <c r="V187" s="12"/>
      <c r="W187" s="13"/>
      <c r="Y187" s="6"/>
      <c r="Z187" s="7"/>
      <c r="AA187" s="8">
        <v>4</v>
      </c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4</v>
      </c>
      <c r="BI187" s="47">
        <f t="shared" si="29"/>
        <v>1.2</v>
      </c>
    </row>
    <row r="188" spans="1:61" x14ac:dyDescent="0.25">
      <c r="A188" s="40" t="s">
        <v>389</v>
      </c>
      <c r="B188" s="41">
        <v>4</v>
      </c>
      <c r="C188" s="40" t="s">
        <v>66</v>
      </c>
      <c r="D188" t="s">
        <v>55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>
        <v>3</v>
      </c>
      <c r="T188" s="10"/>
      <c r="U188" s="11"/>
      <c r="V188" s="12"/>
      <c r="W188" s="13">
        <v>2</v>
      </c>
      <c r="Y188" s="6"/>
      <c r="Z188" s="7"/>
      <c r="AA188" s="8"/>
      <c r="AB188" s="9">
        <v>1</v>
      </c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ref="BH188" si="34">SUM(E188:BF188)</f>
        <v>6</v>
      </c>
      <c r="BI188" s="47">
        <f t="shared" ref="BI188" si="35">(SUM(E188:BG188)*$D$2)</f>
        <v>1.7999999999999998</v>
      </c>
    </row>
    <row r="189" spans="1:61" x14ac:dyDescent="0.25">
      <c r="A189" s="40" t="s">
        <v>307</v>
      </c>
      <c r="B189" s="41">
        <v>6</v>
      </c>
      <c r="C189" s="40" t="s">
        <v>66</v>
      </c>
      <c r="D189" t="s">
        <v>50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>
        <v>9</v>
      </c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9</v>
      </c>
      <c r="BI189" s="47">
        <f t="shared" si="29"/>
        <v>2.6999999999999997</v>
      </c>
    </row>
    <row r="190" spans="1:61" x14ac:dyDescent="0.25">
      <c r="A190" s="40" t="s">
        <v>306</v>
      </c>
      <c r="B190" s="41">
        <v>6</v>
      </c>
      <c r="C190" s="40" t="s">
        <v>66</v>
      </c>
      <c r="D190" t="s">
        <v>50</v>
      </c>
      <c r="E190" s="6">
        <v>3</v>
      </c>
      <c r="F190" s="7"/>
      <c r="G190" s="8"/>
      <c r="H190" s="9"/>
      <c r="J190" s="10"/>
      <c r="K190" s="11"/>
      <c r="L190" s="12"/>
      <c r="M190" s="13"/>
      <c r="O190" s="6"/>
      <c r="P190" s="7"/>
      <c r="Q190" s="8"/>
      <c r="R190" s="9">
        <v>6</v>
      </c>
      <c r="T190" s="10"/>
      <c r="U190" s="11">
        <v>5</v>
      </c>
      <c r="V190" s="12"/>
      <c r="W190" s="13">
        <v>7</v>
      </c>
      <c r="Y190" s="6">
        <v>5</v>
      </c>
      <c r="Z190" s="7"/>
      <c r="AA190" s="8"/>
      <c r="AB190" s="9">
        <v>5</v>
      </c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31</v>
      </c>
      <c r="BI190" s="47">
        <f t="shared" si="29"/>
        <v>9.2999999999999989</v>
      </c>
    </row>
    <row r="191" spans="1:61" x14ac:dyDescent="0.25">
      <c r="A191" s="40" t="s">
        <v>305</v>
      </c>
      <c r="B191" s="41">
        <v>6</v>
      </c>
      <c r="C191" s="40" t="s">
        <v>66</v>
      </c>
      <c r="D191" t="s">
        <v>51</v>
      </c>
      <c r="E191" s="6"/>
      <c r="F191" s="7"/>
      <c r="G191" s="8"/>
      <c r="H191" s="9">
        <v>3</v>
      </c>
      <c r="J191" s="10"/>
      <c r="K191" s="11"/>
      <c r="L191" s="12"/>
      <c r="M191" s="13"/>
      <c r="O191" s="6"/>
      <c r="P191" s="7"/>
      <c r="Q191" s="8">
        <v>3</v>
      </c>
      <c r="R191" s="9">
        <v>6</v>
      </c>
      <c r="T191" s="10"/>
      <c r="U191" s="11"/>
      <c r="V191" s="12"/>
      <c r="W191" s="13">
        <v>5</v>
      </c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17</v>
      </c>
      <c r="BI191" s="47">
        <f t="shared" si="29"/>
        <v>5.0999999999999996</v>
      </c>
    </row>
    <row r="192" spans="1:61" x14ac:dyDescent="0.25">
      <c r="A192" s="40" t="s">
        <v>304</v>
      </c>
      <c r="B192" s="41">
        <v>6</v>
      </c>
      <c r="C192" s="40" t="s">
        <v>66</v>
      </c>
      <c r="D192" t="s">
        <v>51</v>
      </c>
      <c r="E192" s="6"/>
      <c r="F192" s="7">
        <v>4</v>
      </c>
      <c r="G192" s="8"/>
      <c r="H192" s="9">
        <v>3</v>
      </c>
      <c r="J192" s="10"/>
      <c r="K192" s="11"/>
      <c r="L192" s="12"/>
      <c r="M192" s="13"/>
      <c r="O192" s="6"/>
      <c r="P192" s="7"/>
      <c r="Q192" s="8"/>
      <c r="R192" s="9">
        <v>7</v>
      </c>
      <c r="T192" s="10"/>
      <c r="U192" s="11"/>
      <c r="V192" s="12"/>
      <c r="W192" s="13">
        <v>5</v>
      </c>
      <c r="Y192" s="6"/>
      <c r="Z192" s="7"/>
      <c r="AA192" s="8"/>
      <c r="AB192" s="9">
        <v>4</v>
      </c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8"/>
        <v>23</v>
      </c>
      <c r="BI192" s="47">
        <f t="shared" si="29"/>
        <v>6.8999999999999995</v>
      </c>
    </row>
    <row r="193" spans="1:61" x14ac:dyDescent="0.25">
      <c r="A193" s="40" t="s">
        <v>303</v>
      </c>
      <c r="B193" s="41">
        <v>6</v>
      </c>
      <c r="C193" s="40" t="s">
        <v>66</v>
      </c>
      <c r="D193" t="s">
        <v>51</v>
      </c>
      <c r="E193" s="6">
        <v>3</v>
      </c>
      <c r="F193" s="7"/>
      <c r="G193" s="8"/>
      <c r="H193" s="9"/>
      <c r="J193" s="10"/>
      <c r="K193" s="11"/>
      <c r="L193" s="12">
        <v>3</v>
      </c>
      <c r="M193" s="13">
        <v>3</v>
      </c>
      <c r="O193" s="6">
        <v>2</v>
      </c>
      <c r="P193" s="7"/>
      <c r="Q193" s="8"/>
      <c r="R193" s="9">
        <v>6</v>
      </c>
      <c r="T193" s="10"/>
      <c r="U193" s="11"/>
      <c r="V193" s="12"/>
      <c r="W193" s="13"/>
      <c r="Y193" s="6"/>
      <c r="Z193" s="7"/>
      <c r="AA193" s="8"/>
      <c r="AB193" s="9">
        <v>4</v>
      </c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21</v>
      </c>
      <c r="BI193" s="47">
        <f t="shared" si="29"/>
        <v>6.3</v>
      </c>
    </row>
    <row r="194" spans="1:61" x14ac:dyDescent="0.25">
      <c r="A194" s="40" t="s">
        <v>302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1</v>
      </c>
      <c r="T194" s="10"/>
      <c r="U194" s="11"/>
      <c r="V194" s="12"/>
      <c r="W194" s="13"/>
      <c r="Y194" s="6"/>
      <c r="Z194" s="7"/>
      <c r="AA194" s="8"/>
      <c r="AB194" s="9">
        <v>3</v>
      </c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4</v>
      </c>
      <c r="BI194" s="47">
        <f t="shared" si="29"/>
        <v>1.2</v>
      </c>
    </row>
    <row r="195" spans="1:61" x14ac:dyDescent="0.25">
      <c r="A195" s="40" t="s">
        <v>390</v>
      </c>
      <c r="B195" s="41">
        <v>8</v>
      </c>
      <c r="C195" s="40" t="s">
        <v>66</v>
      </c>
      <c r="D195" t="s">
        <v>57</v>
      </c>
      <c r="E195" s="6"/>
      <c r="F195" s="7"/>
      <c r="G195" s="8">
        <v>4</v>
      </c>
      <c r="H195" s="9">
        <v>5</v>
      </c>
      <c r="J195" s="10"/>
      <c r="K195" s="11"/>
      <c r="L195" s="12">
        <v>8</v>
      </c>
      <c r="M195" s="13">
        <v>7</v>
      </c>
      <c r="O195" s="6">
        <v>3</v>
      </c>
      <c r="P195" s="7"/>
      <c r="Q195" s="8"/>
      <c r="R195" s="9"/>
      <c r="T195" s="10"/>
      <c r="U195" s="11">
        <v>2</v>
      </c>
      <c r="V195" s="12"/>
      <c r="W195" s="13">
        <v>5</v>
      </c>
      <c r="Y195" s="6"/>
      <c r="Z195" s="7">
        <v>6</v>
      </c>
      <c r="AA195" s="8">
        <v>4</v>
      </c>
      <c r="AB195" s="9">
        <v>5</v>
      </c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49</v>
      </c>
      <c r="BI195" s="47">
        <f t="shared" si="29"/>
        <v>14.7</v>
      </c>
    </row>
    <row r="196" spans="1:61" x14ac:dyDescent="0.25">
      <c r="A196" s="40" t="s">
        <v>391</v>
      </c>
      <c r="B196" s="41">
        <v>8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>
        <v>1</v>
      </c>
      <c r="T196" s="10"/>
      <c r="U196" s="11"/>
      <c r="V196" s="12"/>
      <c r="W196" s="13"/>
      <c r="Y196" s="6"/>
      <c r="Z196" s="7"/>
      <c r="AA196" s="8"/>
      <c r="AB196" s="9">
        <v>1</v>
      </c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2</v>
      </c>
      <c r="BI196" s="47">
        <f t="shared" si="29"/>
        <v>0.6</v>
      </c>
    </row>
    <row r="197" spans="1:61" x14ac:dyDescent="0.25">
      <c r="A197" s="40" t="s">
        <v>392</v>
      </c>
      <c r="B197" s="41">
        <v>8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/>
      <c r="O197" s="6"/>
      <c r="P197" s="7"/>
      <c r="Q197" s="8"/>
      <c r="R197" s="9">
        <v>1</v>
      </c>
      <c r="T197" s="10"/>
      <c r="U197" s="11"/>
      <c r="V197" s="12"/>
      <c r="W197" s="13">
        <v>5</v>
      </c>
      <c r="Y197" s="6">
        <v>5</v>
      </c>
      <c r="Z197" s="7">
        <v>3</v>
      </c>
      <c r="AA197" s="8">
        <v>4</v>
      </c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18</v>
      </c>
      <c r="BI197" s="47">
        <f t="shared" si="29"/>
        <v>5.3999999999999995</v>
      </c>
    </row>
    <row r="198" spans="1:61" x14ac:dyDescent="0.25">
      <c r="A198" s="40" t="s">
        <v>393</v>
      </c>
      <c r="B198" s="41">
        <v>8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>
        <v>3</v>
      </c>
      <c r="T198" s="10"/>
      <c r="U198" s="11"/>
      <c r="V198" s="12"/>
      <c r="W198" s="13">
        <v>2</v>
      </c>
      <c r="Y198" s="6"/>
      <c r="Z198" s="7"/>
      <c r="AA198" s="8"/>
      <c r="AB198" s="9">
        <v>1</v>
      </c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6</v>
      </c>
      <c r="BI198" s="47">
        <f t="shared" si="29"/>
        <v>1.7999999999999998</v>
      </c>
    </row>
    <row r="199" spans="1:61" x14ac:dyDescent="0.25">
      <c r="A199" s="40" t="s">
        <v>394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>
        <v>1</v>
      </c>
      <c r="T199" s="10"/>
      <c r="U199" s="11"/>
      <c r="V199" s="12"/>
      <c r="W199" s="13"/>
      <c r="Y199" s="6"/>
      <c r="Z199" s="7"/>
      <c r="AA199" s="8"/>
      <c r="AB199" s="9">
        <v>3</v>
      </c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4</v>
      </c>
      <c r="BI199" s="47">
        <f t="shared" si="29"/>
        <v>1.2</v>
      </c>
    </row>
    <row r="200" spans="1:61" x14ac:dyDescent="0.25">
      <c r="A200" s="40" t="s">
        <v>395</v>
      </c>
      <c r="B200" s="41">
        <v>9</v>
      </c>
      <c r="C200" s="40" t="s">
        <v>66</v>
      </c>
      <c r="D200" t="s">
        <v>57</v>
      </c>
      <c r="E200" s="6"/>
      <c r="F200" s="7"/>
      <c r="G200" s="8"/>
      <c r="H200" s="9"/>
      <c r="J200" s="10"/>
      <c r="K200" s="11"/>
      <c r="L200" s="12"/>
      <c r="M200" s="13">
        <v>2</v>
      </c>
      <c r="O200" s="6"/>
      <c r="P200" s="7">
        <v>2</v>
      </c>
      <c r="Q200" s="8">
        <v>2</v>
      </c>
      <c r="R200" s="9">
        <v>8</v>
      </c>
      <c r="T200" s="10"/>
      <c r="U200" s="11"/>
      <c r="V200" s="12"/>
      <c r="W200" s="13">
        <v>4</v>
      </c>
      <c r="Y200" s="6">
        <v>2</v>
      </c>
      <c r="Z200" s="7">
        <v>2</v>
      </c>
      <c r="AA200" s="8"/>
      <c r="AB200" s="9">
        <v>6</v>
      </c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si="28"/>
        <v>28</v>
      </c>
      <c r="BI200" s="47">
        <f t="shared" si="29"/>
        <v>8.4</v>
      </c>
    </row>
    <row r="201" spans="1:61" x14ac:dyDescent="0.25">
      <c r="A201" s="40" t="s">
        <v>396</v>
      </c>
      <c r="B201" s="41">
        <v>9</v>
      </c>
      <c r="C201" s="40" t="s">
        <v>66</v>
      </c>
      <c r="D201" t="s">
        <v>57</v>
      </c>
      <c r="E201" s="6"/>
      <c r="F201" s="7"/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0</v>
      </c>
      <c r="BI201" s="47">
        <f t="shared" si="29"/>
        <v>0</v>
      </c>
    </row>
    <row r="202" spans="1:61" x14ac:dyDescent="0.25">
      <c r="A202" s="40" t="s">
        <v>397</v>
      </c>
      <c r="B202" s="41">
        <v>9</v>
      </c>
      <c r="C202" s="40" t="s">
        <v>66</v>
      </c>
      <c r="D202" t="s">
        <v>57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>
        <v>1</v>
      </c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1</v>
      </c>
      <c r="BI202" s="47">
        <f t="shared" si="29"/>
        <v>0.3</v>
      </c>
    </row>
    <row r="203" spans="1:61" x14ac:dyDescent="0.25">
      <c r="A203" s="40" t="s">
        <v>294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>
        <v>1</v>
      </c>
      <c r="P203" s="7">
        <v>2</v>
      </c>
      <c r="Q203" s="8">
        <v>1</v>
      </c>
      <c r="R203" s="9">
        <v>4</v>
      </c>
      <c r="T203" s="10"/>
      <c r="U203" s="11">
        <v>2</v>
      </c>
      <c r="V203" s="12"/>
      <c r="W203" s="13"/>
      <c r="Y203" s="6">
        <v>4</v>
      </c>
      <c r="Z203" s="7">
        <v>1</v>
      </c>
      <c r="AA203" s="8"/>
      <c r="AB203" s="9">
        <v>4</v>
      </c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ref="BH203" si="36">SUM(E203:BF203)</f>
        <v>19</v>
      </c>
      <c r="BI203" s="47">
        <f t="shared" ref="BI203" si="37">(SUM(E203:BG203)*$D$2)</f>
        <v>5.7</v>
      </c>
    </row>
    <row r="204" spans="1:61" x14ac:dyDescent="0.25">
      <c r="A204" s="40" t="s">
        <v>353</v>
      </c>
      <c r="B204" s="41">
        <v>1</v>
      </c>
      <c r="C204" s="40" t="s">
        <v>66</v>
      </c>
      <c r="D204" t="s">
        <v>62</v>
      </c>
      <c r="E204" s="6"/>
      <c r="F204" s="7"/>
      <c r="G204" s="8">
        <v>1</v>
      </c>
      <c r="H204" s="9"/>
      <c r="J204" s="10"/>
      <c r="K204" s="11"/>
      <c r="L204" s="12"/>
      <c r="M204" s="13"/>
      <c r="O204" s="6"/>
      <c r="P204" s="7"/>
      <c r="Q204" s="8"/>
      <c r="R204" s="9">
        <v>1</v>
      </c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2</v>
      </c>
      <c r="BI204" s="47">
        <f t="shared" si="29"/>
        <v>0.6</v>
      </c>
    </row>
    <row r="205" spans="1:61" x14ac:dyDescent="0.25">
      <c r="A205" s="40" t="s">
        <v>293</v>
      </c>
      <c r="B205" s="41">
        <v>1</v>
      </c>
      <c r="C205" s="40" t="s">
        <v>66</v>
      </c>
      <c r="D205" t="s">
        <v>62</v>
      </c>
      <c r="E205" s="6"/>
      <c r="F205" s="7"/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>
        <v>2</v>
      </c>
      <c r="AA205" s="8"/>
      <c r="AB205" s="9">
        <v>6</v>
      </c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8</v>
      </c>
      <c r="BI205" s="47">
        <f t="shared" si="29"/>
        <v>2.4</v>
      </c>
    </row>
    <row r="206" spans="1:61" x14ac:dyDescent="0.25">
      <c r="A206" s="40" t="s">
        <v>398</v>
      </c>
      <c r="B206" s="41">
        <v>1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/>
      <c r="P206" s="7"/>
      <c r="Q206" s="8"/>
      <c r="R206" s="9">
        <v>8</v>
      </c>
      <c r="T206" s="10"/>
      <c r="U206" s="11"/>
      <c r="V206" s="12"/>
      <c r="W206" s="13"/>
      <c r="Y206" s="6"/>
      <c r="Z206" s="7"/>
      <c r="AA206" s="8"/>
      <c r="AB206" s="9">
        <v>7</v>
      </c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15</v>
      </c>
      <c r="BI206" s="47">
        <f t="shared" si="29"/>
        <v>4.5</v>
      </c>
    </row>
    <row r="207" spans="1:61" x14ac:dyDescent="0.25">
      <c r="A207" s="40" t="s">
        <v>399</v>
      </c>
      <c r="B207" s="41">
        <v>1</v>
      </c>
      <c r="C207" s="40" t="s">
        <v>66</v>
      </c>
      <c r="D207" t="s">
        <v>62</v>
      </c>
      <c r="E207" s="6">
        <v>1</v>
      </c>
      <c r="F207" s="7"/>
      <c r="G207" s="8">
        <v>1</v>
      </c>
      <c r="H207" s="9">
        <v>1</v>
      </c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>
        <v>2</v>
      </c>
      <c r="Z207" s="7">
        <v>4</v>
      </c>
      <c r="AA207" s="8"/>
      <c r="AB207" s="9">
        <v>1</v>
      </c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8"/>
        <v>10</v>
      </c>
      <c r="BI207" s="47">
        <f t="shared" si="29"/>
        <v>3</v>
      </c>
    </row>
    <row r="208" spans="1:61" x14ac:dyDescent="0.25">
      <c r="A208" s="40" t="s">
        <v>351</v>
      </c>
      <c r="B208" s="41">
        <v>1</v>
      </c>
      <c r="C208" s="40" t="s">
        <v>66</v>
      </c>
      <c r="D208" t="s">
        <v>62</v>
      </c>
      <c r="E208" s="6"/>
      <c r="F208" s="7">
        <v>1</v>
      </c>
      <c r="G208" s="8">
        <v>1</v>
      </c>
      <c r="H208" s="9"/>
      <c r="J208" s="10"/>
      <c r="K208" s="11"/>
      <c r="L208" s="12"/>
      <c r="M208" s="13"/>
      <c r="O208" s="6"/>
      <c r="P208" s="7"/>
      <c r="Q208" s="8"/>
      <c r="R208" s="9">
        <v>1</v>
      </c>
      <c r="T208" s="10"/>
      <c r="U208" s="11"/>
      <c r="V208" s="12"/>
      <c r="W208" s="13"/>
      <c r="Y208" s="6"/>
      <c r="Z208" s="7"/>
      <c r="AA208" s="8"/>
      <c r="AB208" s="9">
        <v>3</v>
      </c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6</v>
      </c>
      <c r="BI208" s="47">
        <f t="shared" si="29"/>
        <v>1.7999999999999998</v>
      </c>
    </row>
    <row r="209" spans="1:61" x14ac:dyDescent="0.25">
      <c r="A209" s="40" t="s">
        <v>291</v>
      </c>
      <c r="B209" s="40" t="s">
        <v>53</v>
      </c>
      <c r="C209" s="40" t="s">
        <v>66</v>
      </c>
      <c r="D209" t="s">
        <v>62</v>
      </c>
      <c r="E209" s="6"/>
      <c r="F209" s="7"/>
      <c r="G209" s="8"/>
      <c r="H209" s="9"/>
      <c r="J209" s="10"/>
      <c r="K209" s="11"/>
      <c r="L209" s="12"/>
      <c r="M209" s="13"/>
      <c r="O209" s="6">
        <v>7</v>
      </c>
      <c r="P209" s="7"/>
      <c r="Q209" s="8">
        <v>5</v>
      </c>
      <c r="R209" s="9">
        <v>6</v>
      </c>
      <c r="T209" s="10"/>
      <c r="U209" s="11">
        <v>3</v>
      </c>
      <c r="V209" s="12"/>
      <c r="W209" s="13"/>
      <c r="Y209" s="6">
        <v>2</v>
      </c>
      <c r="Z209" s="7"/>
      <c r="AA209" s="8"/>
      <c r="AB209" s="9">
        <v>4</v>
      </c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8"/>
        <v>27</v>
      </c>
      <c r="BI209" s="47">
        <f t="shared" si="29"/>
        <v>8.1</v>
      </c>
    </row>
    <row r="210" spans="1:61" x14ac:dyDescent="0.25">
      <c r="A210" s="40" t="s">
        <v>290</v>
      </c>
      <c r="B210" s="40" t="s">
        <v>53</v>
      </c>
      <c r="C210" s="40" t="s">
        <v>66</v>
      </c>
      <c r="D210" t="s">
        <v>62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>
        <v>6</v>
      </c>
      <c r="T210" s="10"/>
      <c r="U210" s="11"/>
      <c r="V210" s="12"/>
      <c r="W210" s="13"/>
      <c r="Y210" s="6"/>
      <c r="Z210" s="7">
        <v>3</v>
      </c>
      <c r="AA210" s="8">
        <v>3</v>
      </c>
      <c r="AB210" s="9">
        <v>1</v>
      </c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13</v>
      </c>
      <c r="BI210" s="47">
        <f t="shared" si="29"/>
        <v>3.9</v>
      </c>
    </row>
    <row r="211" spans="1:61" x14ac:dyDescent="0.25">
      <c r="A211" s="40" t="s">
        <v>289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/>
      <c r="O211" s="6"/>
      <c r="P211" s="7"/>
      <c r="Q211" s="8"/>
      <c r="R211" s="9"/>
      <c r="T211" s="10"/>
      <c r="U211" s="11">
        <v>1</v>
      </c>
      <c r="V211" s="12"/>
      <c r="W211" s="13">
        <v>2</v>
      </c>
      <c r="Y211" s="6">
        <v>1</v>
      </c>
      <c r="Z211" s="7"/>
      <c r="AA211" s="8">
        <v>3</v>
      </c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7</v>
      </c>
      <c r="BI211" s="47">
        <f t="shared" si="29"/>
        <v>2.1</v>
      </c>
    </row>
    <row r="212" spans="1:61" x14ac:dyDescent="0.25">
      <c r="A212" s="40" t="s">
        <v>400</v>
      </c>
      <c r="B212" s="40" t="s">
        <v>53</v>
      </c>
      <c r="C212" s="40" t="s">
        <v>66</v>
      </c>
      <c r="D212" t="s">
        <v>54</v>
      </c>
      <c r="E212" s="6"/>
      <c r="F212" s="7"/>
      <c r="G212" s="8"/>
      <c r="H212" s="9"/>
      <c r="J212" s="10"/>
      <c r="K212" s="11"/>
      <c r="L212" s="12"/>
      <c r="M212" s="13"/>
      <c r="O212" s="6"/>
      <c r="P212" s="7"/>
      <c r="Q212" s="8"/>
      <c r="R212" s="9"/>
      <c r="T212" s="10"/>
      <c r="U212" s="11"/>
      <c r="V212" s="12"/>
      <c r="W212" s="13"/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ref="BH212" si="38">SUM(E212:BF212)</f>
        <v>0</v>
      </c>
      <c r="BI212" s="47">
        <f t="shared" ref="BI212" si="39">(SUM(E212:BG212)*$D$2)</f>
        <v>0</v>
      </c>
    </row>
    <row r="213" spans="1:61" x14ac:dyDescent="0.25">
      <c r="A213" s="40" t="s">
        <v>401</v>
      </c>
      <c r="B213" s="40" t="s">
        <v>53</v>
      </c>
      <c r="C213" s="40" t="s">
        <v>66</v>
      </c>
      <c r="D213" t="s">
        <v>54</v>
      </c>
      <c r="E213" s="6">
        <v>2</v>
      </c>
      <c r="F213" s="7">
        <v>3</v>
      </c>
      <c r="G213" s="8"/>
      <c r="H213" s="9"/>
      <c r="J213" s="10"/>
      <c r="K213" s="11"/>
      <c r="L213" s="12"/>
      <c r="M213" s="13"/>
      <c r="O213" s="6"/>
      <c r="P213" s="7"/>
      <c r="Q213" s="8"/>
      <c r="R213" s="9">
        <v>5</v>
      </c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10</v>
      </c>
      <c r="BI213" s="47">
        <f t="shared" si="29"/>
        <v>3</v>
      </c>
    </row>
    <row r="214" spans="1:61" x14ac:dyDescent="0.25">
      <c r="A214" s="40" t="s">
        <v>403</v>
      </c>
      <c r="B214" s="40" t="s">
        <v>53</v>
      </c>
      <c r="C214" s="40" t="s">
        <v>66</v>
      </c>
      <c r="D214" s="50" t="s">
        <v>54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0</v>
      </c>
      <c r="BI214" s="47">
        <f t="shared" si="29"/>
        <v>0</v>
      </c>
    </row>
    <row r="215" spans="1:61" x14ac:dyDescent="0.25">
      <c r="A215" s="40" t="s">
        <v>402</v>
      </c>
      <c r="B215" s="40">
        <v>7</v>
      </c>
      <c r="C215" s="40" t="s">
        <v>66</v>
      </c>
      <c r="E215" s="6">
        <v>7</v>
      </c>
      <c r="F215" s="7">
        <v>7</v>
      </c>
      <c r="G215" s="8">
        <v>9</v>
      </c>
      <c r="H215" s="9">
        <v>8</v>
      </c>
      <c r="J215" s="10"/>
      <c r="K215" s="11"/>
      <c r="L215" s="12">
        <v>8</v>
      </c>
      <c r="M215" s="13">
        <v>8</v>
      </c>
      <c r="O215" s="6"/>
      <c r="P215" s="7"/>
      <c r="Q215" s="8"/>
      <c r="R215" s="9">
        <v>12</v>
      </c>
      <c r="T215" s="10"/>
      <c r="U215" s="11">
        <v>8</v>
      </c>
      <c r="V215" s="12"/>
      <c r="W215" s="13">
        <v>11</v>
      </c>
      <c r="Y215" s="6"/>
      <c r="Z215" s="7">
        <v>8</v>
      </c>
      <c r="AA215" s="8">
        <v>7</v>
      </c>
      <c r="AB215" s="9">
        <v>13</v>
      </c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106</v>
      </c>
      <c r="BI215" s="47">
        <f t="shared" si="29"/>
        <v>31.799999999999997</v>
      </c>
    </row>
    <row r="216" spans="1:61" x14ac:dyDescent="0.25">
      <c r="A216" s="40" t="s">
        <v>257</v>
      </c>
      <c r="B216" s="40">
        <v>7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>
        <v>1</v>
      </c>
      <c r="T216" s="10"/>
      <c r="U216" s="11"/>
      <c r="V216" s="12"/>
      <c r="W216" s="13"/>
      <c r="Y216" s="6">
        <v>5</v>
      </c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8"/>
        <v>6</v>
      </c>
      <c r="BI216" s="47">
        <f t="shared" si="29"/>
        <v>1.7999999999999998</v>
      </c>
    </row>
    <row r="217" spans="1:61" x14ac:dyDescent="0.25">
      <c r="A217" s="40" t="s">
        <v>404</v>
      </c>
      <c r="B217" s="40">
        <v>7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>
        <v>3</v>
      </c>
      <c r="T217" s="10"/>
      <c r="U217" s="11"/>
      <c r="V217" s="12"/>
      <c r="W217" s="13">
        <v>4</v>
      </c>
      <c r="Y217" s="6"/>
      <c r="Z217" s="7"/>
      <c r="AA217" s="8"/>
      <c r="AB217" s="9">
        <v>2</v>
      </c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9</v>
      </c>
      <c r="BI217" s="47">
        <f t="shared" si="29"/>
        <v>2.6999999999999997</v>
      </c>
    </row>
    <row r="218" spans="1:61" x14ac:dyDescent="0.25">
      <c r="A218" s="40" t="s">
        <v>405</v>
      </c>
      <c r="B218" s="40">
        <v>7</v>
      </c>
      <c r="C218" s="40" t="s">
        <v>66</v>
      </c>
      <c r="E218" s="6">
        <v>2</v>
      </c>
      <c r="F218" s="7">
        <v>3</v>
      </c>
      <c r="G218" s="8">
        <v>2</v>
      </c>
      <c r="H218" s="9"/>
      <c r="J218" s="10"/>
      <c r="K218" s="11"/>
      <c r="L218" s="12">
        <v>3</v>
      </c>
      <c r="M218" s="13">
        <v>3</v>
      </c>
      <c r="O218" s="6">
        <v>3</v>
      </c>
      <c r="P218" s="7"/>
      <c r="Q218" s="8">
        <v>2</v>
      </c>
      <c r="R218" s="9">
        <v>9</v>
      </c>
      <c r="T218" s="10"/>
      <c r="U218" s="11">
        <v>2</v>
      </c>
      <c r="V218" s="12"/>
      <c r="W218" s="13">
        <v>8</v>
      </c>
      <c r="Y218" s="6">
        <v>4</v>
      </c>
      <c r="Z218" s="7"/>
      <c r="AA218" s="8">
        <v>3</v>
      </c>
      <c r="AB218" s="9">
        <v>6</v>
      </c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50</v>
      </c>
      <c r="BI218" s="47">
        <f t="shared" si="29"/>
        <v>15</v>
      </c>
    </row>
    <row r="219" spans="1:61" x14ac:dyDescent="0.25">
      <c r="A219" s="40" t="s">
        <v>406</v>
      </c>
      <c r="B219" s="40">
        <v>8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>
        <v>1</v>
      </c>
      <c r="T219" s="10"/>
      <c r="U219" s="11"/>
      <c r="V219" s="12"/>
      <c r="W219" s="13">
        <v>10</v>
      </c>
      <c r="Y219" s="6">
        <v>3</v>
      </c>
      <c r="Z219" s="7"/>
      <c r="AA219" s="8">
        <v>4</v>
      </c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18</v>
      </c>
      <c r="BI219" s="47">
        <f t="shared" si="29"/>
        <v>5.3999999999999995</v>
      </c>
    </row>
    <row r="220" spans="1:61" x14ac:dyDescent="0.25">
      <c r="A220" s="40" t="s">
        <v>407</v>
      </c>
      <c r="B220" s="40"/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0</v>
      </c>
      <c r="BI220" s="47">
        <f t="shared" si="29"/>
        <v>0</v>
      </c>
    </row>
    <row r="221" spans="1:61" x14ac:dyDescent="0.25">
      <c r="A221" s="40" t="s">
        <v>352</v>
      </c>
      <c r="B221" s="40">
        <v>4</v>
      </c>
      <c r="C221" s="40" t="s">
        <v>66</v>
      </c>
      <c r="E221" s="6"/>
      <c r="F221" s="7"/>
      <c r="G221" s="8">
        <v>3</v>
      </c>
      <c r="H221" s="9">
        <v>3</v>
      </c>
      <c r="J221" s="10"/>
      <c r="K221" s="11"/>
      <c r="L221" s="12">
        <v>3</v>
      </c>
      <c r="M221" s="13"/>
      <c r="O221" s="6">
        <v>3</v>
      </c>
      <c r="P221" s="7"/>
      <c r="Q221" s="8">
        <v>2</v>
      </c>
      <c r="R221" s="9">
        <v>6</v>
      </c>
      <c r="T221" s="10"/>
      <c r="U221" s="11">
        <v>2</v>
      </c>
      <c r="V221" s="12"/>
      <c r="W221" s="13">
        <v>4</v>
      </c>
      <c r="Y221" s="6"/>
      <c r="Z221" s="7">
        <v>3</v>
      </c>
      <c r="AA221" s="8"/>
      <c r="AB221" s="9">
        <v>8</v>
      </c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28"/>
        <v>37</v>
      </c>
      <c r="BI221" s="47">
        <f t="shared" si="29"/>
        <v>11.1</v>
      </c>
    </row>
    <row r="222" spans="1:61" x14ac:dyDescent="0.25">
      <c r="A222" s="40" t="s">
        <v>416</v>
      </c>
      <c r="B222" s="40">
        <v>6</v>
      </c>
      <c r="C222" s="52" t="s">
        <v>66</v>
      </c>
      <c r="E222" s="6"/>
      <c r="F222" s="7"/>
      <c r="G222" s="8"/>
      <c r="H222" s="9"/>
      <c r="J222" s="10"/>
      <c r="K222" s="11"/>
      <c r="L222" s="12">
        <v>3</v>
      </c>
      <c r="M222" s="13">
        <v>3</v>
      </c>
      <c r="O222" s="6"/>
      <c r="P222" s="7"/>
      <c r="Q222" s="8"/>
      <c r="R222" s="9">
        <v>5</v>
      </c>
      <c r="T222" s="10"/>
      <c r="U222" s="11">
        <v>3</v>
      </c>
      <c r="V222" s="12"/>
      <c r="W222" s="13">
        <v>1</v>
      </c>
      <c r="Y222" s="6">
        <v>1</v>
      </c>
      <c r="Z222" s="7"/>
      <c r="AA222" s="8"/>
      <c r="AB222" s="9">
        <v>4</v>
      </c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28"/>
        <v>20</v>
      </c>
      <c r="BI222" s="47">
        <f t="shared" si="29"/>
        <v>6</v>
      </c>
    </row>
    <row r="223" spans="1:61" x14ac:dyDescent="0.25">
      <c r="A223" s="40" t="s">
        <v>421</v>
      </c>
      <c r="B223" s="40">
        <v>4</v>
      </c>
      <c r="C223" s="40" t="s">
        <v>66</v>
      </c>
      <c r="E223" s="6"/>
      <c r="F223" s="7"/>
      <c r="G223" s="8"/>
      <c r="H223" s="9">
        <v>2</v>
      </c>
      <c r="J223" s="10"/>
      <c r="K223" s="11"/>
      <c r="L223" s="12"/>
      <c r="M223" s="13"/>
      <c r="O223" s="6">
        <v>2</v>
      </c>
      <c r="P223" s="7">
        <v>3</v>
      </c>
      <c r="Q223" s="8"/>
      <c r="R223" s="9"/>
      <c r="T223" s="10"/>
      <c r="U223" s="11"/>
      <c r="V223" s="12"/>
      <c r="W223" s="13">
        <v>2</v>
      </c>
      <c r="Y223" s="6">
        <v>3</v>
      </c>
      <c r="Z223" s="7">
        <v>3</v>
      </c>
      <c r="AA223" s="8"/>
      <c r="AB223" s="9">
        <v>6</v>
      </c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28"/>
        <v>21</v>
      </c>
      <c r="BI223" s="47">
        <f t="shared" si="29"/>
        <v>6.3</v>
      </c>
    </row>
    <row r="224" spans="1:61" x14ac:dyDescent="0.25">
      <c r="A224" s="40" t="s">
        <v>423</v>
      </c>
      <c r="B224" s="40">
        <v>3</v>
      </c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>
        <v>3</v>
      </c>
      <c r="P224" s="7">
        <v>3</v>
      </c>
      <c r="Q224" s="8"/>
      <c r="R224" s="9">
        <v>4</v>
      </c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ref="BH224:BH239" si="40">SUM(E224:BF224)</f>
        <v>10</v>
      </c>
      <c r="BI224" s="47">
        <f t="shared" ref="BI224:BI239" si="41">(SUM(E224:BG224)*$D$2)</f>
        <v>3</v>
      </c>
    </row>
    <row r="225" spans="1:61" x14ac:dyDescent="0.25">
      <c r="A225" s="40" t="s">
        <v>434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>
        <v>3</v>
      </c>
      <c r="T225" s="10"/>
      <c r="U225" s="11">
        <v>2</v>
      </c>
      <c r="V225" s="12"/>
      <c r="W225" s="13">
        <v>1</v>
      </c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40"/>
        <v>6</v>
      </c>
      <c r="BI225" s="47">
        <f t="shared" si="41"/>
        <v>1.7999999999999998</v>
      </c>
    </row>
    <row r="226" spans="1:61" x14ac:dyDescent="0.25">
      <c r="A226" s="40" t="s">
        <v>435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>
        <v>1</v>
      </c>
      <c r="T226" s="10"/>
      <c r="U226" s="11"/>
      <c r="V226" s="12"/>
      <c r="W226" s="13">
        <v>6</v>
      </c>
      <c r="Y226" s="6">
        <v>3</v>
      </c>
      <c r="Z226" s="7">
        <v>3</v>
      </c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40"/>
        <v>13</v>
      </c>
      <c r="BI226" s="47">
        <f t="shared" si="41"/>
        <v>3.9</v>
      </c>
    </row>
    <row r="227" spans="1:61" x14ac:dyDescent="0.25">
      <c r="A227" s="40" t="s">
        <v>440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>
        <v>1</v>
      </c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40"/>
        <v>1</v>
      </c>
      <c r="BI227" s="47">
        <f t="shared" si="41"/>
        <v>0.3</v>
      </c>
    </row>
    <row r="228" spans="1:61" x14ac:dyDescent="0.25">
      <c r="A228" s="40" t="s">
        <v>436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>
        <v>5</v>
      </c>
      <c r="T228" s="10"/>
      <c r="U228" s="11"/>
      <c r="V228" s="12"/>
      <c r="W228" s="13"/>
      <c r="Y228" s="6"/>
      <c r="Z228" s="7"/>
      <c r="AA228" s="8"/>
      <c r="AB228" s="9">
        <v>8</v>
      </c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40"/>
        <v>13</v>
      </c>
      <c r="BI228" s="47">
        <f t="shared" si="41"/>
        <v>3.9</v>
      </c>
    </row>
    <row r="229" spans="1:61" x14ac:dyDescent="0.25">
      <c r="A229" s="40" t="s">
        <v>437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6</v>
      </c>
      <c r="T229" s="10"/>
      <c r="U229" s="11"/>
      <c r="V229" s="12"/>
      <c r="W229" s="13"/>
      <c r="Y229" s="6"/>
      <c r="Z229" s="7"/>
      <c r="AA229" s="8"/>
      <c r="AB229" s="9">
        <v>5</v>
      </c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11</v>
      </c>
      <c r="BI229" s="47">
        <f t="shared" si="41"/>
        <v>3.3</v>
      </c>
    </row>
    <row r="230" spans="1:61" x14ac:dyDescent="0.25">
      <c r="A230" s="40" t="s">
        <v>438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1</v>
      </c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1</v>
      </c>
      <c r="BI230" s="47">
        <f t="shared" si="41"/>
        <v>0.3</v>
      </c>
    </row>
    <row r="231" spans="1:61" x14ac:dyDescent="0.25">
      <c r="A231" s="40" t="s">
        <v>439</v>
      </c>
      <c r="B231" s="40"/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>
        <v>4</v>
      </c>
      <c r="T231" s="10"/>
      <c r="U231" s="11"/>
      <c r="V231" s="12"/>
      <c r="W231" s="13"/>
      <c r="Y231" s="6"/>
      <c r="Z231" s="7"/>
      <c r="AA231" s="8"/>
      <c r="AB231" s="9">
        <v>2</v>
      </c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40"/>
        <v>6</v>
      </c>
      <c r="BI231" s="47">
        <f t="shared" si="41"/>
        <v>1.7999999999999998</v>
      </c>
    </row>
    <row r="232" spans="1:61" x14ac:dyDescent="0.25">
      <c r="A232" s="40" t="s">
        <v>441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>
        <v>5</v>
      </c>
      <c r="T232" s="10"/>
      <c r="U232" s="11"/>
      <c r="V232" s="12"/>
      <c r="W232" s="13"/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0"/>
        <v>5</v>
      </c>
      <c r="BI232" s="47">
        <f t="shared" si="41"/>
        <v>1.5</v>
      </c>
    </row>
    <row r="233" spans="1:61" x14ac:dyDescent="0.25">
      <c r="A233" s="40" t="s">
        <v>216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>
        <v>8</v>
      </c>
      <c r="T233" s="10"/>
      <c r="U233" s="11"/>
      <c r="V233" s="12"/>
      <c r="W233" s="13"/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0"/>
        <v>8</v>
      </c>
      <c r="BI233" s="47">
        <f t="shared" si="41"/>
        <v>2.4</v>
      </c>
    </row>
    <row r="234" spans="1:61" x14ac:dyDescent="0.25">
      <c r="A234" s="40" t="s">
        <v>408</v>
      </c>
      <c r="B234" s="40">
        <v>4</v>
      </c>
      <c r="C234" s="40" t="s">
        <v>66</v>
      </c>
      <c r="E234" s="6"/>
      <c r="F234" s="7"/>
      <c r="G234" s="8"/>
      <c r="H234" s="9">
        <v>2</v>
      </c>
      <c r="J234" s="10"/>
      <c r="K234" s="11"/>
      <c r="L234" s="12"/>
      <c r="M234" s="13"/>
      <c r="O234" s="6"/>
      <c r="P234" s="7"/>
      <c r="Q234" s="8"/>
      <c r="R234" s="9">
        <v>2</v>
      </c>
      <c r="T234" s="10"/>
      <c r="U234" s="11"/>
      <c r="V234" s="12"/>
      <c r="W234" s="13"/>
      <c r="Y234" s="6"/>
      <c r="Z234" s="7"/>
      <c r="AA234" s="8"/>
      <c r="AB234" s="9">
        <v>1</v>
      </c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ref="BH234:BH238" si="42">SUM(E234:BF234)</f>
        <v>5</v>
      </c>
      <c r="BI234" s="47">
        <f t="shared" ref="BI234:BI238" si="43">(SUM(E234:BG234)*$D$2)</f>
        <v>1.5</v>
      </c>
    </row>
    <row r="235" spans="1:61" x14ac:dyDescent="0.25">
      <c r="A235" s="40" t="s">
        <v>447</v>
      </c>
      <c r="B235" s="40"/>
      <c r="C235" s="40" t="s">
        <v>66</v>
      </c>
      <c r="E235" s="6"/>
      <c r="F235" s="7"/>
      <c r="G235" s="8"/>
      <c r="H235" s="9"/>
      <c r="J235" s="10"/>
      <c r="K235" s="11"/>
      <c r="L235" s="12"/>
      <c r="M235" s="13"/>
      <c r="O235" s="6"/>
      <c r="P235" s="7"/>
      <c r="Q235" s="8"/>
      <c r="R235" s="9"/>
      <c r="T235" s="10"/>
      <c r="U235" s="11"/>
      <c r="V235" s="12"/>
      <c r="W235" s="13">
        <v>2</v>
      </c>
      <c r="Y235" s="6"/>
      <c r="Z235" s="7"/>
      <c r="AA235" s="8"/>
      <c r="AB235" s="9"/>
      <c r="AD235" s="10"/>
      <c r="AE235" s="11"/>
      <c r="AF235" s="12"/>
      <c r="AG235" s="13"/>
      <c r="AI235" s="6"/>
      <c r="AJ235" s="7"/>
      <c r="AK235" s="8"/>
      <c r="AL235" s="9"/>
      <c r="AN235" s="10"/>
      <c r="AO235" s="11"/>
      <c r="AP235" s="12"/>
      <c r="AQ235" s="13"/>
      <c r="AS235" s="6"/>
      <c r="AT235" s="7"/>
      <c r="AU235" s="8"/>
      <c r="AV235" s="9"/>
      <c r="AX235" s="10"/>
      <c r="AY235" s="11"/>
      <c r="AZ235" s="12"/>
      <c r="BA235" s="13"/>
      <c r="BC235" s="6"/>
      <c r="BD235" s="7"/>
      <c r="BE235" s="8"/>
      <c r="BF235" s="9"/>
      <c r="BG235" s="4"/>
      <c r="BH235" s="46">
        <f t="shared" si="42"/>
        <v>2</v>
      </c>
      <c r="BI235" s="47">
        <f t="shared" si="43"/>
        <v>0.6</v>
      </c>
    </row>
    <row r="236" spans="1:61" x14ac:dyDescent="0.25">
      <c r="A236" s="40" t="s">
        <v>448</v>
      </c>
      <c r="B236" s="40"/>
      <c r="C236" s="40" t="s">
        <v>66</v>
      </c>
      <c r="E236" s="6"/>
      <c r="F236" s="7"/>
      <c r="G236" s="8"/>
      <c r="H236" s="9"/>
      <c r="J236" s="10"/>
      <c r="K236" s="11"/>
      <c r="L236" s="12"/>
      <c r="M236" s="13"/>
      <c r="O236" s="6"/>
      <c r="P236" s="7"/>
      <c r="Q236" s="8"/>
      <c r="R236" s="9"/>
      <c r="T236" s="10"/>
      <c r="U236" s="11"/>
      <c r="V236" s="12"/>
      <c r="W236" s="13">
        <v>3</v>
      </c>
      <c r="Y236" s="6"/>
      <c r="Z236" s="7"/>
      <c r="AA236" s="8"/>
      <c r="AB236" s="9"/>
      <c r="AD236" s="10"/>
      <c r="AE236" s="11"/>
      <c r="AF236" s="12"/>
      <c r="AG236" s="13"/>
      <c r="AI236" s="6"/>
      <c r="AJ236" s="7"/>
      <c r="AK236" s="8"/>
      <c r="AL236" s="9"/>
      <c r="AN236" s="10"/>
      <c r="AO236" s="11"/>
      <c r="AP236" s="12"/>
      <c r="AQ236" s="13"/>
      <c r="AS236" s="6"/>
      <c r="AT236" s="7"/>
      <c r="AU236" s="8"/>
      <c r="AV236" s="9"/>
      <c r="AX236" s="10"/>
      <c r="AY236" s="11"/>
      <c r="AZ236" s="12"/>
      <c r="BA236" s="13"/>
      <c r="BC236" s="6"/>
      <c r="BD236" s="7"/>
      <c r="BE236" s="8"/>
      <c r="BF236" s="9"/>
      <c r="BG236" s="4"/>
      <c r="BH236" s="46">
        <f t="shared" si="42"/>
        <v>3</v>
      </c>
      <c r="BI236" s="47">
        <f t="shared" si="43"/>
        <v>0.89999999999999991</v>
      </c>
    </row>
    <row r="237" spans="1:61" x14ac:dyDescent="0.25">
      <c r="A237" s="40" t="s">
        <v>449</v>
      </c>
      <c r="B237" s="40"/>
      <c r="C237" s="40" t="s">
        <v>66</v>
      </c>
      <c r="E237" s="6"/>
      <c r="F237" s="7"/>
      <c r="G237" s="8"/>
      <c r="H237" s="9"/>
      <c r="J237" s="10"/>
      <c r="K237" s="11"/>
      <c r="L237" s="12"/>
      <c r="M237" s="13"/>
      <c r="O237" s="6"/>
      <c r="P237" s="7"/>
      <c r="Q237" s="8"/>
      <c r="R237" s="9"/>
      <c r="T237" s="10"/>
      <c r="U237" s="11"/>
      <c r="V237" s="12"/>
      <c r="W237" s="13">
        <v>3</v>
      </c>
      <c r="Y237" s="6"/>
      <c r="Z237" s="7"/>
      <c r="AA237" s="8"/>
      <c r="AB237" s="9">
        <v>7</v>
      </c>
      <c r="AD237" s="10"/>
      <c r="AE237" s="11"/>
      <c r="AF237" s="12"/>
      <c r="AG237" s="13"/>
      <c r="AI237" s="6"/>
      <c r="AJ237" s="7"/>
      <c r="AK237" s="8"/>
      <c r="AL237" s="9"/>
      <c r="AN237" s="10"/>
      <c r="AO237" s="11"/>
      <c r="AP237" s="12"/>
      <c r="AQ237" s="13"/>
      <c r="AS237" s="6"/>
      <c r="AT237" s="7"/>
      <c r="AU237" s="8"/>
      <c r="AV237" s="9"/>
      <c r="AX237" s="10"/>
      <c r="AY237" s="11"/>
      <c r="AZ237" s="12"/>
      <c r="BA237" s="13"/>
      <c r="BC237" s="6"/>
      <c r="BD237" s="7"/>
      <c r="BE237" s="8"/>
      <c r="BF237" s="9"/>
      <c r="BG237" s="4"/>
      <c r="BH237" s="46">
        <f t="shared" si="42"/>
        <v>10</v>
      </c>
      <c r="BI237" s="47">
        <f t="shared" si="43"/>
        <v>3</v>
      </c>
    </row>
    <row r="238" spans="1:61" x14ac:dyDescent="0.25">
      <c r="A238" s="40" t="s">
        <v>453</v>
      </c>
      <c r="B238" s="40"/>
      <c r="C238" s="40" t="s">
        <v>66</v>
      </c>
      <c r="E238" s="6"/>
      <c r="F238" s="7"/>
      <c r="G238" s="8"/>
      <c r="H238" s="9"/>
      <c r="J238" s="10"/>
      <c r="K238" s="11"/>
      <c r="L238" s="12"/>
      <c r="M238" s="13"/>
      <c r="O238" s="6"/>
      <c r="P238" s="7"/>
      <c r="Q238" s="8"/>
      <c r="R238" s="9"/>
      <c r="T238" s="10"/>
      <c r="U238" s="11"/>
      <c r="V238" s="12"/>
      <c r="W238" s="13">
        <v>3</v>
      </c>
      <c r="Y238" s="6"/>
      <c r="Z238" s="7"/>
      <c r="AA238" s="8"/>
      <c r="AB238" s="9">
        <v>5</v>
      </c>
      <c r="AD238" s="10"/>
      <c r="AE238" s="11"/>
      <c r="AF238" s="12"/>
      <c r="AG238" s="13"/>
      <c r="AI238" s="6"/>
      <c r="AJ238" s="7"/>
      <c r="AK238" s="8"/>
      <c r="AL238" s="9"/>
      <c r="AN238" s="10"/>
      <c r="AO238" s="11"/>
      <c r="AP238" s="12"/>
      <c r="AQ238" s="13"/>
      <c r="AS238" s="6"/>
      <c r="AT238" s="7"/>
      <c r="AU238" s="8"/>
      <c r="AV238" s="9"/>
      <c r="AX238" s="10"/>
      <c r="AY238" s="11"/>
      <c r="AZ238" s="12"/>
      <c r="BA238" s="13"/>
      <c r="BC238" s="6"/>
      <c r="BD238" s="7"/>
      <c r="BE238" s="8"/>
      <c r="BF238" s="9"/>
      <c r="BG238" s="4"/>
      <c r="BH238" s="46">
        <f t="shared" si="42"/>
        <v>8</v>
      </c>
      <c r="BI238" s="47">
        <f t="shared" si="43"/>
        <v>2.4</v>
      </c>
    </row>
    <row r="239" spans="1:61" x14ac:dyDescent="0.25">
      <c r="A239" s="40" t="s">
        <v>454</v>
      </c>
      <c r="B239" s="40"/>
      <c r="C239" s="40" t="s">
        <v>66</v>
      </c>
      <c r="E239" s="6"/>
      <c r="F239" s="7"/>
      <c r="G239" s="8"/>
      <c r="H239" s="9"/>
      <c r="J239" s="10"/>
      <c r="K239" s="11"/>
      <c r="L239" s="12"/>
      <c r="M239" s="13"/>
      <c r="O239" s="6"/>
      <c r="P239" s="7"/>
      <c r="Q239" s="8"/>
      <c r="R239" s="9"/>
      <c r="T239" s="10"/>
      <c r="U239" s="11"/>
      <c r="V239" s="12"/>
      <c r="W239" s="13">
        <v>3</v>
      </c>
      <c r="Y239" s="6"/>
      <c r="Z239" s="7"/>
      <c r="AA239" s="8"/>
      <c r="AB239" s="9">
        <v>1</v>
      </c>
      <c r="AD239" s="10"/>
      <c r="AE239" s="11"/>
      <c r="AF239" s="12"/>
      <c r="AG239" s="13"/>
      <c r="AI239" s="6"/>
      <c r="AJ239" s="7"/>
      <c r="AK239" s="8"/>
      <c r="AL239" s="9"/>
      <c r="AN239" s="10"/>
      <c r="AO239" s="11"/>
      <c r="AP239" s="12"/>
      <c r="AQ239" s="13"/>
      <c r="AS239" s="6"/>
      <c r="AT239" s="7"/>
      <c r="AU239" s="8"/>
      <c r="AV239" s="9"/>
      <c r="AX239" s="10"/>
      <c r="AY239" s="11"/>
      <c r="AZ239" s="12"/>
      <c r="BA239" s="13"/>
      <c r="BC239" s="6"/>
      <c r="BD239" s="7"/>
      <c r="BE239" s="8"/>
      <c r="BF239" s="9"/>
      <c r="BG239" s="4"/>
      <c r="BH239" s="46">
        <f t="shared" si="40"/>
        <v>4</v>
      </c>
      <c r="BI239" s="47">
        <f t="shared" si="41"/>
        <v>1.2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2025-11-17T23:36:33Z</dcterms:modified>
</cp:coreProperties>
</file>