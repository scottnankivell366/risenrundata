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Erin\Run Club\"/>
    </mc:Choice>
  </mc:AlternateContent>
  <xr:revisionPtr revIDLastSave="0" documentId="13_ncr:1_{A6CB5A82-9612-48A7-BE0C-CB075FBB4BC8}" xr6:coauthVersionLast="47" xr6:coauthVersionMax="47" xr10:uidLastSave="{00000000-0000-0000-0000-000000000000}"/>
  <bookViews>
    <workbookView xWindow="-120" yWindow="-120" windowWidth="29040" windowHeight="15720" tabRatio="562" activeTab="3" xr2:uid="{E0803456-148F-4C82-AA5A-324EB5FFE85D}"/>
  </bookViews>
  <sheets>
    <sheet name="Run distances" sheetId="1" r:id="rId1"/>
    <sheet name="Run distances (Term 2)" sheetId="5" r:id="rId2"/>
    <sheet name="Run distances (Term 3)" sheetId="6" r:id="rId3"/>
    <sheet name="Run distances (Term 4)" sheetId="7" r:id="rId4"/>
    <sheet name="Destination Distances" sheetId="2" r:id="rId5"/>
    <sheet name="Week 2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59" i="1" l="1"/>
  <c r="BD159" i="1"/>
  <c r="BC159" i="1"/>
  <c r="BI159" i="5"/>
  <c r="BH159" i="5"/>
  <c r="BI159" i="7"/>
  <c r="BH159" i="7"/>
  <c r="BE240" i="1"/>
  <c r="BC240" i="1"/>
  <c r="BI240" i="5"/>
  <c r="BH240" i="5"/>
  <c r="BI240" i="7"/>
  <c r="BH240" i="7"/>
  <c r="BE236" i="1"/>
  <c r="BE237" i="1"/>
  <c r="BE238" i="1"/>
  <c r="BE239" i="1"/>
  <c r="BC236" i="1"/>
  <c r="BC237" i="1"/>
  <c r="BC238" i="1"/>
  <c r="BC239" i="1"/>
  <c r="BI237" i="5"/>
  <c r="BI238" i="5"/>
  <c r="BH237" i="5"/>
  <c r="BH238" i="5"/>
  <c r="BI236" i="5"/>
  <c r="BH236" i="5"/>
  <c r="BE158" i="1"/>
  <c r="BC158" i="1"/>
  <c r="BI158" i="5"/>
  <c r="BH158" i="5"/>
  <c r="BI158" i="7"/>
  <c r="BH158" i="7"/>
  <c r="BI239" i="5"/>
  <c r="BH239" i="5"/>
  <c r="BI239" i="7"/>
  <c r="BH239" i="7"/>
  <c r="BE235" i="1"/>
  <c r="BC235" i="1"/>
  <c r="BI235" i="5"/>
  <c r="BH235" i="5"/>
  <c r="BI238" i="7"/>
  <c r="BH238" i="7"/>
  <c r="BE82" i="1"/>
  <c r="BC82" i="1"/>
  <c r="BI82" i="5"/>
  <c r="BH82" i="5"/>
  <c r="BI82" i="7"/>
  <c r="BH82" i="7"/>
  <c r="BE81" i="1"/>
  <c r="BC81" i="1"/>
  <c r="BI81" i="5"/>
  <c r="BH81" i="5"/>
  <c r="BI81" i="7"/>
  <c r="BH81" i="7"/>
  <c r="BE157" i="1"/>
  <c r="BC157" i="1"/>
  <c r="BI157" i="5"/>
  <c r="BH157" i="5"/>
  <c r="BI157" i="7"/>
  <c r="BH157" i="7"/>
  <c r="BI237" i="7"/>
  <c r="BH237" i="7"/>
  <c r="BI236" i="7"/>
  <c r="BH236" i="7"/>
  <c r="BI235" i="7"/>
  <c r="BH235" i="7"/>
  <c r="BE80" i="1"/>
  <c r="BC80" i="1"/>
  <c r="BE79" i="1"/>
  <c r="BC79" i="1"/>
  <c r="BI80" i="5"/>
  <c r="BH80" i="5"/>
  <c r="BI79" i="5"/>
  <c r="BH79" i="5"/>
  <c r="BI80" i="7"/>
  <c r="BH80" i="7"/>
  <c r="BI79" i="7"/>
  <c r="BH79" i="7"/>
  <c r="BE78" i="1"/>
  <c r="BC78" i="1"/>
  <c r="BI78" i="5"/>
  <c r="BH78" i="5"/>
  <c r="BI78" i="7"/>
  <c r="BH78" i="7"/>
  <c r="BE156" i="1"/>
  <c r="BC156" i="1"/>
  <c r="BI156" i="5"/>
  <c r="BH156" i="5"/>
  <c r="BI156" i="7"/>
  <c r="BH156" i="7"/>
  <c r="BE155" i="1"/>
  <c r="BC155" i="1"/>
  <c r="BI155" i="5"/>
  <c r="BH155" i="5"/>
  <c r="BI155" i="7"/>
  <c r="BH155" i="7"/>
  <c r="BE72" i="1"/>
  <c r="BE73" i="1"/>
  <c r="BE74" i="1"/>
  <c r="BE75" i="1"/>
  <c r="BE76" i="1"/>
  <c r="BE77" i="1"/>
  <c r="BE83" i="1"/>
  <c r="BC73" i="1"/>
  <c r="BC74" i="1"/>
  <c r="BC75" i="1"/>
  <c r="BC76" i="1"/>
  <c r="BC77" i="1"/>
  <c r="BC83" i="1"/>
  <c r="BE150" i="1"/>
  <c r="BE151" i="1"/>
  <c r="BE152" i="1"/>
  <c r="BE153" i="1"/>
  <c r="BE154" i="1"/>
  <c r="BE160" i="1"/>
  <c r="BC150" i="1"/>
  <c r="BC151" i="1"/>
  <c r="BC152" i="1"/>
  <c r="BC153" i="1"/>
  <c r="BC154" i="1"/>
  <c r="BC160" i="1"/>
  <c r="BI73" i="5"/>
  <c r="BI74" i="5"/>
  <c r="BI75" i="5"/>
  <c r="BI76" i="5"/>
  <c r="BI77" i="5"/>
  <c r="BI83" i="5"/>
  <c r="BH73" i="5"/>
  <c r="BH74" i="5"/>
  <c r="BH75" i="5"/>
  <c r="BH76" i="5"/>
  <c r="BH77" i="5"/>
  <c r="BH83" i="5"/>
  <c r="BI149" i="5"/>
  <c r="BI150" i="5"/>
  <c r="BI151" i="5"/>
  <c r="BI152" i="5"/>
  <c r="BI153" i="5"/>
  <c r="BI154" i="5"/>
  <c r="BI160" i="5"/>
  <c r="BH150" i="5"/>
  <c r="BH151" i="5"/>
  <c r="BH152" i="5"/>
  <c r="BH153" i="5"/>
  <c r="BH154" i="5"/>
  <c r="BH160" i="5"/>
  <c r="BI73" i="7"/>
  <c r="BI74" i="7"/>
  <c r="BI75" i="7"/>
  <c r="BI76" i="7"/>
  <c r="BI77" i="7"/>
  <c r="BI83" i="7"/>
  <c r="BH73" i="7"/>
  <c r="BH74" i="7"/>
  <c r="BH75" i="7"/>
  <c r="BH76" i="7"/>
  <c r="BH77" i="7"/>
  <c r="BH83" i="7"/>
  <c r="BI149" i="7"/>
  <c r="BI150" i="7"/>
  <c r="BI151" i="7"/>
  <c r="BI152" i="7"/>
  <c r="BI153" i="7"/>
  <c r="BI154" i="7"/>
  <c r="BI160" i="7"/>
  <c r="BH149" i="7"/>
  <c r="BH150" i="7"/>
  <c r="BH151" i="7"/>
  <c r="BH152" i="7"/>
  <c r="BH153" i="7"/>
  <c r="BH154" i="7"/>
  <c r="BH160" i="7"/>
  <c r="BI226" i="5"/>
  <c r="BI227" i="5"/>
  <c r="BI228" i="5"/>
  <c r="BI229" i="5"/>
  <c r="BI230" i="5"/>
  <c r="BI231" i="5"/>
  <c r="BI232" i="5"/>
  <c r="BI233" i="5"/>
  <c r="BI234" i="5"/>
  <c r="BI241" i="5"/>
  <c r="BH226" i="5"/>
  <c r="BH227" i="5"/>
  <c r="BH228" i="5"/>
  <c r="BH229" i="5"/>
  <c r="BH230" i="5"/>
  <c r="BH231" i="5"/>
  <c r="BH232" i="5"/>
  <c r="BH233" i="5"/>
  <c r="BH234" i="5"/>
  <c r="BH241" i="5"/>
  <c r="BI226" i="7"/>
  <c r="BI227" i="7"/>
  <c r="BI228" i="7"/>
  <c r="BI229" i="7"/>
  <c r="BI230" i="7"/>
  <c r="BI231" i="7"/>
  <c r="BI232" i="7"/>
  <c r="BI233" i="7"/>
  <c r="BI234" i="7"/>
  <c r="BI241" i="7"/>
  <c r="BH226" i="7"/>
  <c r="BH227" i="7"/>
  <c r="BH228" i="7"/>
  <c r="BH229" i="7"/>
  <c r="BH230" i="7"/>
  <c r="BH231" i="7"/>
  <c r="BH232" i="7"/>
  <c r="BH233" i="7"/>
  <c r="BH234" i="7"/>
  <c r="BH241" i="7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41" i="1"/>
  <c r="BC226" i="1"/>
  <c r="BC227" i="1"/>
  <c r="BC228" i="1"/>
  <c r="BC229" i="1"/>
  <c r="BC230" i="1"/>
  <c r="BC231" i="1"/>
  <c r="BC232" i="1"/>
  <c r="BC233" i="1"/>
  <c r="BC234" i="1"/>
  <c r="BC241" i="1"/>
  <c r="BE176" i="1"/>
  <c r="BE177" i="1"/>
  <c r="BE178" i="1"/>
  <c r="BE179" i="1"/>
  <c r="BE180" i="1"/>
  <c r="BE181" i="1"/>
  <c r="BE182" i="1"/>
  <c r="BC176" i="1"/>
  <c r="BC177" i="1"/>
  <c r="BC178" i="1"/>
  <c r="BC179" i="1"/>
  <c r="BC180" i="1"/>
  <c r="BC181" i="1"/>
  <c r="BI181" i="5"/>
  <c r="BH181" i="5"/>
  <c r="BI180" i="7"/>
  <c r="BH180" i="7"/>
  <c r="BE204" i="1"/>
  <c r="BE205" i="1"/>
  <c r="BE206" i="1"/>
  <c r="BC204" i="1"/>
  <c r="BC205" i="1"/>
  <c r="BC206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98" i="1"/>
  <c r="BE99" i="1"/>
  <c r="BE100" i="1"/>
  <c r="BE101" i="1"/>
  <c r="BE102" i="1"/>
  <c r="BE103" i="1"/>
  <c r="BE104" i="1"/>
  <c r="BC72" i="1"/>
  <c r="BC85" i="1"/>
  <c r="BC86" i="1"/>
  <c r="BC97" i="1"/>
  <c r="BC98" i="1"/>
  <c r="BC99" i="1"/>
  <c r="BC100" i="1"/>
  <c r="BC101" i="1"/>
  <c r="BC102" i="1"/>
  <c r="BC103" i="1"/>
  <c r="BC104" i="1"/>
  <c r="BC140" i="1"/>
  <c r="BC141" i="1"/>
  <c r="BC142" i="1"/>
  <c r="BC143" i="1"/>
  <c r="BC144" i="1"/>
  <c r="BC145" i="1"/>
  <c r="BC146" i="1"/>
  <c r="BC147" i="1"/>
  <c r="BC148" i="1"/>
  <c r="BC149" i="1"/>
  <c r="BC129" i="1"/>
  <c r="BC130" i="1"/>
  <c r="BC131" i="1"/>
  <c r="BC132" i="1"/>
  <c r="BC133" i="1"/>
  <c r="BC134" i="1"/>
  <c r="BC135" i="1"/>
  <c r="BC136" i="1"/>
  <c r="BC137" i="1"/>
  <c r="BC138" i="1"/>
  <c r="BC139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I225" i="5"/>
  <c r="BH225" i="5"/>
  <c r="BI224" i="7"/>
  <c r="BH224" i="7"/>
  <c r="BI221" i="5"/>
  <c r="BI222" i="5"/>
  <c r="BI223" i="5"/>
  <c r="BI224" i="5"/>
  <c r="BH222" i="5"/>
  <c r="BH223" i="5"/>
  <c r="BH224" i="5"/>
  <c r="BI147" i="5"/>
  <c r="BI148" i="5"/>
  <c r="BH147" i="5"/>
  <c r="BH148" i="5"/>
  <c r="BH149" i="5"/>
  <c r="BI104" i="5"/>
  <c r="BH104" i="5"/>
  <c r="BI67" i="5"/>
  <c r="BH67" i="5"/>
  <c r="BI30" i="5"/>
  <c r="BI31" i="5"/>
  <c r="BH30" i="5"/>
  <c r="BH31" i="5"/>
  <c r="BI6" i="5"/>
  <c r="BI7" i="5"/>
  <c r="BI8" i="5"/>
  <c r="BI9" i="5"/>
  <c r="BI10" i="5"/>
  <c r="BI11" i="5"/>
  <c r="BI12" i="5"/>
  <c r="BI13" i="5"/>
  <c r="BI14" i="5"/>
  <c r="BI15" i="5"/>
  <c r="BI16" i="5"/>
  <c r="BI17" i="5"/>
  <c r="BI18" i="5"/>
  <c r="BI19" i="5"/>
  <c r="BH6" i="5"/>
  <c r="BH7" i="5"/>
  <c r="BH8" i="5"/>
  <c r="BH9" i="5"/>
  <c r="BH10" i="5"/>
  <c r="BH11" i="5"/>
  <c r="BH12" i="5"/>
  <c r="BH13" i="5"/>
  <c r="BH14" i="5"/>
  <c r="BH15" i="5"/>
  <c r="BH16" i="5"/>
  <c r="BH17" i="5"/>
  <c r="BH18" i="5"/>
  <c r="BE6" i="1"/>
  <c r="BE7" i="1"/>
  <c r="BE8" i="1"/>
  <c r="BE9" i="1"/>
  <c r="BC6" i="1"/>
  <c r="BC7" i="1"/>
  <c r="BC8" i="1"/>
  <c r="BC9" i="1"/>
  <c r="BE24" i="1"/>
  <c r="BE25" i="1"/>
  <c r="BE26" i="1"/>
  <c r="BE27" i="1"/>
  <c r="BE28" i="1"/>
  <c r="BE29" i="1"/>
  <c r="BE30" i="1"/>
  <c r="BC24" i="1"/>
  <c r="BC25" i="1"/>
  <c r="BC26" i="1"/>
  <c r="BC27" i="1"/>
  <c r="BC28" i="1"/>
  <c r="BC29" i="1"/>
  <c r="BC30" i="1"/>
  <c r="BE51" i="1"/>
  <c r="BC51" i="1"/>
  <c r="BE67" i="1"/>
  <c r="BC67" i="1"/>
  <c r="BE175" i="1"/>
  <c r="BC175" i="1"/>
  <c r="BI175" i="5"/>
  <c r="BH175" i="5"/>
  <c r="BI175" i="7"/>
  <c r="BH175" i="7"/>
  <c r="BI7" i="7"/>
  <c r="BI8" i="7"/>
  <c r="BI9" i="7"/>
  <c r="BH7" i="7"/>
  <c r="BH8" i="7"/>
  <c r="BH9" i="7"/>
  <c r="BI28" i="7"/>
  <c r="BH28" i="7"/>
  <c r="BI51" i="7"/>
  <c r="BH51" i="7"/>
  <c r="BI99" i="7"/>
  <c r="BH99" i="7"/>
  <c r="BI135" i="7"/>
  <c r="BH135" i="7"/>
  <c r="BI145" i="7"/>
  <c r="BI146" i="7"/>
  <c r="BI147" i="7"/>
  <c r="BI148" i="7"/>
  <c r="BH145" i="7"/>
  <c r="BH146" i="7"/>
  <c r="BH147" i="7"/>
  <c r="BH148" i="7"/>
  <c r="BI140" i="7"/>
  <c r="BI141" i="7"/>
  <c r="BH140" i="7"/>
  <c r="BH141" i="7"/>
  <c r="BI209" i="7"/>
  <c r="BH209" i="7"/>
  <c r="BH215" i="7"/>
  <c r="BI215" i="7"/>
  <c r="BI221" i="7"/>
  <c r="BI222" i="7"/>
  <c r="BI223" i="7"/>
  <c r="BH221" i="7"/>
  <c r="BH222" i="7"/>
  <c r="BH223" i="7"/>
  <c r="BI225" i="7"/>
  <c r="BH225" i="7"/>
  <c r="BI142" i="7"/>
  <c r="BH142" i="7"/>
  <c r="BH221" i="5"/>
  <c r="BD241" i="1" l="1"/>
  <c r="BD236" i="1"/>
  <c r="BD80" i="1"/>
  <c r="BD240" i="1"/>
  <c r="BD155" i="1"/>
  <c r="BD78" i="1"/>
  <c r="BD157" i="1"/>
  <c r="BD82" i="1"/>
  <c r="BD148" i="1"/>
  <c r="BD77" i="1"/>
  <c r="BD238" i="1"/>
  <c r="BD76" i="1"/>
  <c r="BD230" i="1"/>
  <c r="BD228" i="1"/>
  <c r="BD154" i="1"/>
  <c r="BD83" i="1"/>
  <c r="BD74" i="1"/>
  <c r="BD149" i="1"/>
  <c r="BD222" i="1"/>
  <c r="BD75" i="1"/>
  <c r="BD223" i="1"/>
  <c r="BD233" i="1"/>
  <c r="BD151" i="1"/>
  <c r="BD232" i="1"/>
  <c r="BD231" i="1"/>
  <c r="BD237" i="1"/>
  <c r="BD239" i="1"/>
  <c r="BD73" i="1"/>
  <c r="BD229" i="1"/>
  <c r="BD160" i="1"/>
  <c r="BD234" i="1"/>
  <c r="BD79" i="1"/>
  <c r="BD152" i="1"/>
  <c r="BD221" i="1"/>
  <c r="BD7" i="1"/>
  <c r="BD147" i="1"/>
  <c r="BD227" i="1"/>
  <c r="BD153" i="1"/>
  <c r="BD9" i="1"/>
  <c r="BD8" i="1"/>
  <c r="BD225" i="1"/>
  <c r="BD226" i="1"/>
  <c r="BD175" i="1"/>
  <c r="BD224" i="1"/>
  <c r="BD150" i="1"/>
  <c r="BD156" i="1"/>
  <c r="BD81" i="1"/>
  <c r="BD235" i="1"/>
  <c r="BD158" i="1"/>
  <c r="BI204" i="7"/>
  <c r="BH204" i="7"/>
  <c r="BI189" i="7"/>
  <c r="BH189" i="7"/>
  <c r="BI213" i="7"/>
  <c r="BH213" i="7"/>
  <c r="BI98" i="7"/>
  <c r="BH98" i="7"/>
  <c r="BI139" i="7"/>
  <c r="BH139" i="7"/>
  <c r="BI103" i="7"/>
  <c r="BH103" i="7"/>
  <c r="BI102" i="7"/>
  <c r="BH102" i="7"/>
  <c r="BI130" i="7"/>
  <c r="BH130" i="7"/>
  <c r="BI85" i="7"/>
  <c r="BH85" i="7"/>
  <c r="BI5" i="7"/>
  <c r="BH5" i="7"/>
  <c r="BI67" i="7"/>
  <c r="BD67" i="1" s="1"/>
  <c r="BH67" i="7"/>
  <c r="BI29" i="7"/>
  <c r="BH29" i="7"/>
  <c r="BI72" i="7"/>
  <c r="BH72" i="7"/>
  <c r="BI66" i="7"/>
  <c r="BH66" i="7"/>
  <c r="BI134" i="5"/>
  <c r="BH134" i="5"/>
  <c r="BI145" i="5"/>
  <c r="BD145" i="1" s="1"/>
  <c r="BH145" i="5"/>
  <c r="BI214" i="5"/>
  <c r="BH214" i="5"/>
  <c r="BI27" i="5"/>
  <c r="BH27" i="5"/>
  <c r="BI98" i="5"/>
  <c r="BH98" i="5"/>
  <c r="BI204" i="5"/>
  <c r="BH204" i="5"/>
  <c r="BI144" i="5"/>
  <c r="BH144" i="5"/>
  <c r="BI208" i="5"/>
  <c r="BH208" i="5"/>
  <c r="BI140" i="5"/>
  <c r="BD140" i="1" s="1"/>
  <c r="BH140" i="5"/>
  <c r="BH103" i="5"/>
  <c r="BI103" i="5"/>
  <c r="BI5" i="5"/>
  <c r="BH5" i="5"/>
  <c r="BI146" i="5"/>
  <c r="BD146" i="1" s="1"/>
  <c r="BH146" i="5"/>
  <c r="BI102" i="5"/>
  <c r="BH102" i="5"/>
  <c r="BI139" i="5"/>
  <c r="BH139" i="5"/>
  <c r="BI50" i="5"/>
  <c r="BH50" i="5"/>
  <c r="BI220" i="7"/>
  <c r="BH220" i="7"/>
  <c r="BI219" i="7"/>
  <c r="BH219" i="7"/>
  <c r="BI218" i="7"/>
  <c r="BH218" i="7"/>
  <c r="BI217" i="7"/>
  <c r="BH217" i="7"/>
  <c r="BI216" i="7"/>
  <c r="BH216" i="7"/>
  <c r="BI214" i="7"/>
  <c r="BH214" i="7"/>
  <c r="BI212" i="7"/>
  <c r="BH212" i="7"/>
  <c r="BI211" i="7"/>
  <c r="BH211" i="7"/>
  <c r="BI210" i="7"/>
  <c r="BH210" i="7"/>
  <c r="BI208" i="7"/>
  <c r="BH208" i="7"/>
  <c r="BI207" i="7"/>
  <c r="BH207" i="7"/>
  <c r="BI206" i="7"/>
  <c r="BH206" i="7"/>
  <c r="BI205" i="7"/>
  <c r="BH205" i="7"/>
  <c r="BI203" i="7"/>
  <c r="BH203" i="7"/>
  <c r="BI202" i="7"/>
  <c r="BH202" i="7"/>
  <c r="BI201" i="7"/>
  <c r="BH201" i="7"/>
  <c r="BI200" i="7"/>
  <c r="BH200" i="7"/>
  <c r="BI199" i="7"/>
  <c r="BH199" i="7"/>
  <c r="BI198" i="7"/>
  <c r="BH198" i="7"/>
  <c r="BI197" i="7"/>
  <c r="BH197" i="7"/>
  <c r="BI196" i="7"/>
  <c r="BH196" i="7"/>
  <c r="BI195" i="7"/>
  <c r="BH195" i="7"/>
  <c r="BI194" i="7"/>
  <c r="BH194" i="7"/>
  <c r="BI193" i="7"/>
  <c r="BH193" i="7"/>
  <c r="BI192" i="7"/>
  <c r="BH192" i="7"/>
  <c r="BI191" i="7"/>
  <c r="BH191" i="7"/>
  <c r="BI190" i="7"/>
  <c r="BH190" i="7"/>
  <c r="BI188" i="7"/>
  <c r="BH188" i="7"/>
  <c r="BI187" i="7"/>
  <c r="BH187" i="7"/>
  <c r="BI186" i="7"/>
  <c r="BH186" i="7"/>
  <c r="BI185" i="7"/>
  <c r="BH185" i="7"/>
  <c r="BI184" i="7"/>
  <c r="BH184" i="7"/>
  <c r="BI183" i="7"/>
  <c r="BH183" i="7"/>
  <c r="BI182" i="7"/>
  <c r="BH182" i="7"/>
  <c r="BI181" i="7"/>
  <c r="BD181" i="1" s="1"/>
  <c r="BH181" i="7"/>
  <c r="BI179" i="7"/>
  <c r="BH179" i="7"/>
  <c r="BI178" i="7"/>
  <c r="BH178" i="7"/>
  <c r="BI177" i="7"/>
  <c r="BH177" i="7"/>
  <c r="BI176" i="7"/>
  <c r="BH176" i="7"/>
  <c r="BI174" i="7"/>
  <c r="BH174" i="7"/>
  <c r="BI173" i="7"/>
  <c r="BH173" i="7"/>
  <c r="BI172" i="7"/>
  <c r="BH172" i="7"/>
  <c r="BI171" i="7"/>
  <c r="BH171" i="7"/>
  <c r="BI170" i="7"/>
  <c r="BH170" i="7"/>
  <c r="BI169" i="7"/>
  <c r="BH169" i="7"/>
  <c r="BI168" i="7"/>
  <c r="BH168" i="7"/>
  <c r="BI167" i="7"/>
  <c r="BH167" i="7"/>
  <c r="BI166" i="7"/>
  <c r="BH166" i="7"/>
  <c r="BI165" i="7"/>
  <c r="BH165" i="7"/>
  <c r="BI164" i="7"/>
  <c r="BH164" i="7"/>
  <c r="BI163" i="7"/>
  <c r="BH163" i="7"/>
  <c r="BI162" i="7"/>
  <c r="BH162" i="7"/>
  <c r="BI144" i="7"/>
  <c r="BH144" i="7"/>
  <c r="BI143" i="7"/>
  <c r="BH143" i="7"/>
  <c r="BI138" i="7"/>
  <c r="BH138" i="7"/>
  <c r="BI137" i="7"/>
  <c r="BH137" i="7"/>
  <c r="BI136" i="7"/>
  <c r="BH136" i="7"/>
  <c r="BI134" i="7"/>
  <c r="BH134" i="7"/>
  <c r="BI133" i="7"/>
  <c r="BH133" i="7"/>
  <c r="BI132" i="7"/>
  <c r="BH132" i="7"/>
  <c r="BI131" i="7"/>
  <c r="BH131" i="7"/>
  <c r="BI129" i="7"/>
  <c r="BH129" i="7"/>
  <c r="BI128" i="7"/>
  <c r="BH128" i="7"/>
  <c r="BI127" i="7"/>
  <c r="BH127" i="7"/>
  <c r="BI126" i="7"/>
  <c r="BH126" i="7"/>
  <c r="BI125" i="7"/>
  <c r="BH125" i="7"/>
  <c r="BI124" i="7"/>
  <c r="BH124" i="7"/>
  <c r="BI123" i="7"/>
  <c r="BH123" i="7"/>
  <c r="BI122" i="7"/>
  <c r="BH122" i="7"/>
  <c r="BI121" i="7"/>
  <c r="BH121" i="7"/>
  <c r="BI120" i="7"/>
  <c r="BH120" i="7"/>
  <c r="BI119" i="7"/>
  <c r="BH119" i="7"/>
  <c r="BI118" i="7"/>
  <c r="BH118" i="7"/>
  <c r="BI117" i="7"/>
  <c r="BH117" i="7"/>
  <c r="BI116" i="7"/>
  <c r="BH116" i="7"/>
  <c r="BI115" i="7"/>
  <c r="BH115" i="7"/>
  <c r="BI114" i="7"/>
  <c r="BH114" i="7"/>
  <c r="BI113" i="7"/>
  <c r="BH113" i="7"/>
  <c r="BI112" i="7"/>
  <c r="BH112" i="7"/>
  <c r="BI111" i="7"/>
  <c r="BH111" i="7"/>
  <c r="BI110" i="7"/>
  <c r="BH110" i="7"/>
  <c r="BI109" i="7"/>
  <c r="BH109" i="7"/>
  <c r="BI108" i="7"/>
  <c r="BH108" i="7"/>
  <c r="BI107" i="7"/>
  <c r="BH107" i="7"/>
  <c r="BI106" i="7"/>
  <c r="BH106" i="7"/>
  <c r="BI105" i="7"/>
  <c r="BH105" i="7"/>
  <c r="BI104" i="7"/>
  <c r="BD104" i="1" s="1"/>
  <c r="BH104" i="7"/>
  <c r="BI101" i="7"/>
  <c r="BH101" i="7"/>
  <c r="BI100" i="7"/>
  <c r="BH100" i="7"/>
  <c r="BI97" i="7"/>
  <c r="BH97" i="7"/>
  <c r="BI96" i="7"/>
  <c r="BH96" i="7"/>
  <c r="BI95" i="7"/>
  <c r="BH95" i="7"/>
  <c r="BI94" i="7"/>
  <c r="BH94" i="7"/>
  <c r="BI93" i="7"/>
  <c r="BH93" i="7"/>
  <c r="BI92" i="7"/>
  <c r="BH92" i="7"/>
  <c r="BI91" i="7"/>
  <c r="BH91" i="7"/>
  <c r="BI90" i="7"/>
  <c r="BH90" i="7"/>
  <c r="BI89" i="7"/>
  <c r="BH89" i="7"/>
  <c r="BI88" i="7"/>
  <c r="BH88" i="7"/>
  <c r="BI87" i="7"/>
  <c r="BH87" i="7"/>
  <c r="BI86" i="7"/>
  <c r="BH86" i="7"/>
  <c r="BI71" i="7"/>
  <c r="BH71" i="7"/>
  <c r="BI70" i="7"/>
  <c r="BH70" i="7"/>
  <c r="BI69" i="7"/>
  <c r="BH69" i="7"/>
  <c r="BI68" i="7"/>
  <c r="BH68" i="7"/>
  <c r="BI65" i="7"/>
  <c r="BH65" i="7"/>
  <c r="BI64" i="7"/>
  <c r="BH64" i="7"/>
  <c r="BI63" i="7"/>
  <c r="BH63" i="7"/>
  <c r="BI62" i="7"/>
  <c r="BH62" i="7"/>
  <c r="BI61" i="7"/>
  <c r="BH61" i="7"/>
  <c r="BI60" i="7"/>
  <c r="BH60" i="7"/>
  <c r="BI59" i="7"/>
  <c r="BH59" i="7"/>
  <c r="BI58" i="7"/>
  <c r="BH58" i="7"/>
  <c r="BI57" i="7"/>
  <c r="BH57" i="7"/>
  <c r="BI56" i="7"/>
  <c r="BH56" i="7"/>
  <c r="BI55" i="7"/>
  <c r="BH55" i="7"/>
  <c r="BI54" i="7"/>
  <c r="BH54" i="7"/>
  <c r="BI53" i="7"/>
  <c r="BH53" i="7"/>
  <c r="BI52" i="7"/>
  <c r="BH52" i="7"/>
  <c r="BI50" i="7"/>
  <c r="BH50" i="7"/>
  <c r="BI49" i="7"/>
  <c r="BH49" i="7"/>
  <c r="BI48" i="7"/>
  <c r="BH48" i="7"/>
  <c r="BI47" i="7"/>
  <c r="BH47" i="7"/>
  <c r="BI46" i="7"/>
  <c r="BH46" i="7"/>
  <c r="BI45" i="7"/>
  <c r="BH45" i="7"/>
  <c r="BI44" i="7"/>
  <c r="BH44" i="7"/>
  <c r="BI43" i="7"/>
  <c r="BH43" i="7"/>
  <c r="BI42" i="7"/>
  <c r="BH42" i="7"/>
  <c r="BI41" i="7"/>
  <c r="BH41" i="7"/>
  <c r="BI40" i="7"/>
  <c r="BH40" i="7"/>
  <c r="BI39" i="7"/>
  <c r="BH39" i="7"/>
  <c r="BI38" i="7"/>
  <c r="BH38" i="7"/>
  <c r="BI37" i="7"/>
  <c r="BH37" i="7"/>
  <c r="BI36" i="7"/>
  <c r="BH36" i="7"/>
  <c r="BI35" i="7"/>
  <c r="BH35" i="7"/>
  <c r="BI34" i="7"/>
  <c r="BH34" i="7"/>
  <c r="BI33" i="7"/>
  <c r="BH33" i="7"/>
  <c r="BI32" i="7"/>
  <c r="BH32" i="7"/>
  <c r="BI31" i="7"/>
  <c r="BH31" i="7"/>
  <c r="BI30" i="7"/>
  <c r="BD30" i="1" s="1"/>
  <c r="BH30" i="7"/>
  <c r="BI27" i="7"/>
  <c r="BH27" i="7"/>
  <c r="BI26" i="7"/>
  <c r="BH26" i="7"/>
  <c r="BI25" i="7"/>
  <c r="BH25" i="7"/>
  <c r="BI24" i="7"/>
  <c r="BH24" i="7"/>
  <c r="BI23" i="7"/>
  <c r="BH23" i="7"/>
  <c r="BI22" i="7"/>
  <c r="BH22" i="7"/>
  <c r="BI21" i="7"/>
  <c r="BH21" i="7"/>
  <c r="BI20" i="7"/>
  <c r="BH20" i="7"/>
  <c r="BI19" i="7"/>
  <c r="BH19" i="7"/>
  <c r="BI18" i="7"/>
  <c r="BH18" i="7"/>
  <c r="BI17" i="7"/>
  <c r="BH17" i="7"/>
  <c r="BI16" i="7"/>
  <c r="BH16" i="7"/>
  <c r="BI15" i="7"/>
  <c r="BH15" i="7"/>
  <c r="BI14" i="7"/>
  <c r="BH14" i="7"/>
  <c r="BI13" i="7"/>
  <c r="BH13" i="7"/>
  <c r="BI12" i="7"/>
  <c r="BH12" i="7"/>
  <c r="BI11" i="7"/>
  <c r="BH11" i="7"/>
  <c r="BI10" i="7"/>
  <c r="BH10" i="7"/>
  <c r="BI6" i="7"/>
  <c r="BD6" i="1" s="1"/>
  <c r="BH6" i="7"/>
  <c r="BI177" i="6"/>
  <c r="BH177" i="6"/>
  <c r="BI176" i="6"/>
  <c r="BH176" i="6"/>
  <c r="BI175" i="6"/>
  <c r="BH175" i="6"/>
  <c r="BI174" i="6"/>
  <c r="BH174" i="6"/>
  <c r="BI173" i="6"/>
  <c r="BH173" i="6"/>
  <c r="BI172" i="6"/>
  <c r="BH172" i="6"/>
  <c r="BI171" i="6"/>
  <c r="BH171" i="6"/>
  <c r="BI170" i="6"/>
  <c r="BH170" i="6"/>
  <c r="BI169" i="6"/>
  <c r="BH169" i="6"/>
  <c r="BI168" i="6"/>
  <c r="BH168" i="6"/>
  <c r="BI167" i="6"/>
  <c r="BH167" i="6"/>
  <c r="BI166" i="6"/>
  <c r="BH166" i="6"/>
  <c r="BI165" i="6"/>
  <c r="BH165" i="6"/>
  <c r="BI164" i="6"/>
  <c r="BH164" i="6"/>
  <c r="BI163" i="6"/>
  <c r="BH163" i="6"/>
  <c r="BI162" i="6"/>
  <c r="BH162" i="6"/>
  <c r="BI161" i="6"/>
  <c r="BH161" i="6"/>
  <c r="BI160" i="6"/>
  <c r="BH160" i="6"/>
  <c r="BI159" i="6"/>
  <c r="BH159" i="6"/>
  <c r="BI158" i="6"/>
  <c r="BH158" i="6"/>
  <c r="BI157" i="6"/>
  <c r="BH157" i="6"/>
  <c r="BI156" i="6"/>
  <c r="BH156" i="6"/>
  <c r="BI155" i="6"/>
  <c r="BH155" i="6"/>
  <c r="BI154" i="6"/>
  <c r="BH154" i="6"/>
  <c r="BI153" i="6"/>
  <c r="BH153" i="6"/>
  <c r="BI152" i="6"/>
  <c r="BH152" i="6"/>
  <c r="BI151" i="6"/>
  <c r="BH151" i="6"/>
  <c r="BI150" i="6"/>
  <c r="BH150" i="6"/>
  <c r="BI149" i="6"/>
  <c r="BH149" i="6"/>
  <c r="BI148" i="6"/>
  <c r="BH148" i="6"/>
  <c r="BI147" i="6"/>
  <c r="BH147" i="6"/>
  <c r="BI146" i="6"/>
  <c r="BH146" i="6"/>
  <c r="BI145" i="6"/>
  <c r="BH145" i="6"/>
  <c r="BI144" i="6"/>
  <c r="BH144" i="6"/>
  <c r="BI143" i="6"/>
  <c r="BH143" i="6"/>
  <c r="BI142" i="6"/>
  <c r="BH142" i="6"/>
  <c r="BI141" i="6"/>
  <c r="BH141" i="6"/>
  <c r="BI140" i="6"/>
  <c r="BH140" i="6"/>
  <c r="BI139" i="6"/>
  <c r="BH139" i="6"/>
  <c r="BI138" i="6"/>
  <c r="BH138" i="6"/>
  <c r="BI137" i="6"/>
  <c r="BH137" i="6"/>
  <c r="BI136" i="6"/>
  <c r="BH136" i="6"/>
  <c r="BI135" i="6"/>
  <c r="BH135" i="6"/>
  <c r="BI134" i="6"/>
  <c r="BH134" i="6"/>
  <c r="BI133" i="6"/>
  <c r="BH133" i="6"/>
  <c r="BI132" i="6"/>
  <c r="BH132" i="6"/>
  <c r="BI131" i="6"/>
  <c r="BH131" i="6"/>
  <c r="BI130" i="6"/>
  <c r="BH130" i="6"/>
  <c r="BI129" i="6"/>
  <c r="BH129" i="6"/>
  <c r="BI128" i="6"/>
  <c r="BH128" i="6"/>
  <c r="BI127" i="6"/>
  <c r="BH127" i="6"/>
  <c r="BI126" i="6"/>
  <c r="BH126" i="6"/>
  <c r="BI125" i="6"/>
  <c r="BH125" i="6"/>
  <c r="BI124" i="6"/>
  <c r="BH124" i="6"/>
  <c r="BI123" i="6"/>
  <c r="BH123" i="6"/>
  <c r="BI122" i="6"/>
  <c r="BH122" i="6"/>
  <c r="BI121" i="6"/>
  <c r="BH121" i="6"/>
  <c r="BI120" i="6"/>
  <c r="BH120" i="6"/>
  <c r="BI119" i="6"/>
  <c r="BH119" i="6"/>
  <c r="BI118" i="6"/>
  <c r="BH118" i="6"/>
  <c r="BI117" i="6"/>
  <c r="BH117" i="6"/>
  <c r="BI116" i="6"/>
  <c r="BH116" i="6"/>
  <c r="BI115" i="6"/>
  <c r="BH115" i="6"/>
  <c r="BI114" i="6"/>
  <c r="BH114" i="6"/>
  <c r="BI113" i="6"/>
  <c r="BH113" i="6"/>
  <c r="BI112" i="6"/>
  <c r="BH112" i="6"/>
  <c r="BI111" i="6"/>
  <c r="BH111" i="6"/>
  <c r="BI110" i="6"/>
  <c r="BH110" i="6"/>
  <c r="BI109" i="6"/>
  <c r="BH109" i="6"/>
  <c r="BI108" i="6"/>
  <c r="BH108" i="6"/>
  <c r="BI107" i="6"/>
  <c r="BH107" i="6"/>
  <c r="BI106" i="6"/>
  <c r="BH106" i="6"/>
  <c r="BI105" i="6"/>
  <c r="BH105" i="6"/>
  <c r="BI104" i="6"/>
  <c r="BH104" i="6"/>
  <c r="BI103" i="6"/>
  <c r="BH103" i="6"/>
  <c r="BI102" i="6"/>
  <c r="BH102" i="6"/>
  <c r="BI101" i="6"/>
  <c r="BH101" i="6"/>
  <c r="BI100" i="6"/>
  <c r="BH100" i="6"/>
  <c r="BI99" i="6"/>
  <c r="BH99" i="6"/>
  <c r="BI98" i="6"/>
  <c r="BH98" i="6"/>
  <c r="BI97" i="6"/>
  <c r="BH97" i="6"/>
  <c r="BI96" i="6"/>
  <c r="BH96" i="6"/>
  <c r="BI95" i="6"/>
  <c r="BH95" i="6"/>
  <c r="BI94" i="6"/>
  <c r="BH94" i="6"/>
  <c r="BI93" i="6"/>
  <c r="BH93" i="6"/>
  <c r="BI92" i="6"/>
  <c r="BH92" i="6"/>
  <c r="BI91" i="6"/>
  <c r="BH91" i="6"/>
  <c r="BI90" i="6"/>
  <c r="BH90" i="6"/>
  <c r="BI89" i="6"/>
  <c r="BH89" i="6"/>
  <c r="BI88" i="6"/>
  <c r="BH88" i="6"/>
  <c r="BI87" i="6"/>
  <c r="BH87" i="6"/>
  <c r="BI86" i="6"/>
  <c r="BH86" i="6"/>
  <c r="BI85" i="6"/>
  <c r="BH85" i="6"/>
  <c r="BI84" i="6"/>
  <c r="BH84" i="6"/>
  <c r="BI83" i="6"/>
  <c r="BH83" i="6"/>
  <c r="BI82" i="6"/>
  <c r="BH82" i="6"/>
  <c r="BI81" i="6"/>
  <c r="BH81" i="6"/>
  <c r="BI80" i="6"/>
  <c r="BH80" i="6"/>
  <c r="BI79" i="6"/>
  <c r="BH79" i="6"/>
  <c r="BI78" i="6"/>
  <c r="BH78" i="6"/>
  <c r="BI77" i="6"/>
  <c r="BH77" i="6"/>
  <c r="BI76" i="6"/>
  <c r="BH76" i="6"/>
  <c r="BI75" i="6"/>
  <c r="BH75" i="6"/>
  <c r="BI74" i="6"/>
  <c r="BH74" i="6"/>
  <c r="BI73" i="6"/>
  <c r="BH73" i="6"/>
  <c r="BI72" i="6"/>
  <c r="BH72" i="6"/>
  <c r="BI71" i="6"/>
  <c r="BH71" i="6"/>
  <c r="BI70" i="6"/>
  <c r="BH70" i="6"/>
  <c r="BI69" i="6"/>
  <c r="BH69" i="6"/>
  <c r="BI68" i="6"/>
  <c r="BH68" i="6"/>
  <c r="BI67" i="6"/>
  <c r="BH67" i="6"/>
  <c r="BI66" i="6"/>
  <c r="BH66" i="6"/>
  <c r="BI65" i="6"/>
  <c r="BH65" i="6"/>
  <c r="BI64" i="6"/>
  <c r="BH64" i="6"/>
  <c r="BI63" i="6"/>
  <c r="BH63" i="6"/>
  <c r="BI62" i="6"/>
  <c r="BH62" i="6"/>
  <c r="BI61" i="6"/>
  <c r="BH61" i="6"/>
  <c r="BI60" i="6"/>
  <c r="BH60" i="6"/>
  <c r="BI59" i="6"/>
  <c r="BH59" i="6"/>
  <c r="BI58" i="6"/>
  <c r="BH58" i="6"/>
  <c r="BI57" i="6"/>
  <c r="BH57" i="6"/>
  <c r="BI56" i="6"/>
  <c r="BH56" i="6"/>
  <c r="BI55" i="6"/>
  <c r="BH55" i="6"/>
  <c r="BI54" i="6"/>
  <c r="BH54" i="6"/>
  <c r="BI53" i="6"/>
  <c r="BH53" i="6"/>
  <c r="BI52" i="6"/>
  <c r="BH52" i="6"/>
  <c r="BI51" i="6"/>
  <c r="BH51" i="6"/>
  <c r="BI50" i="6"/>
  <c r="BH50" i="6"/>
  <c r="BI49" i="6"/>
  <c r="BH49" i="6"/>
  <c r="BI48" i="6"/>
  <c r="BH48" i="6"/>
  <c r="BI47" i="6"/>
  <c r="BH47" i="6"/>
  <c r="BI46" i="6"/>
  <c r="BH46" i="6"/>
  <c r="BI45" i="6"/>
  <c r="BH45" i="6"/>
  <c r="BI44" i="6"/>
  <c r="BH44" i="6"/>
  <c r="BI43" i="6"/>
  <c r="BH43" i="6"/>
  <c r="BI42" i="6"/>
  <c r="BH42" i="6"/>
  <c r="BI41" i="6"/>
  <c r="BH41" i="6"/>
  <c r="BI40" i="6"/>
  <c r="BH40" i="6"/>
  <c r="BI39" i="6"/>
  <c r="BH39" i="6"/>
  <c r="BI38" i="6"/>
  <c r="BH38" i="6"/>
  <c r="BI37" i="6"/>
  <c r="BH37" i="6"/>
  <c r="BI36" i="6"/>
  <c r="BH36" i="6"/>
  <c r="BI35" i="6"/>
  <c r="BH35" i="6"/>
  <c r="BI34" i="6"/>
  <c r="BH34" i="6"/>
  <c r="BI33" i="6"/>
  <c r="BH33" i="6"/>
  <c r="BI32" i="6"/>
  <c r="BH32" i="6"/>
  <c r="BI31" i="6"/>
  <c r="BH31" i="6"/>
  <c r="BI30" i="6"/>
  <c r="BH30" i="6"/>
  <c r="BI29" i="6"/>
  <c r="BH29" i="6"/>
  <c r="BI28" i="6"/>
  <c r="BH28" i="6"/>
  <c r="BI27" i="6"/>
  <c r="BH27" i="6"/>
  <c r="BI26" i="6"/>
  <c r="BH26" i="6"/>
  <c r="BI25" i="6"/>
  <c r="BH25" i="6"/>
  <c r="BI24" i="6"/>
  <c r="BH24" i="6"/>
  <c r="BI23" i="6"/>
  <c r="BH23" i="6"/>
  <c r="BI22" i="6"/>
  <c r="BH22" i="6"/>
  <c r="BI21" i="6"/>
  <c r="BH21" i="6"/>
  <c r="BI20" i="6"/>
  <c r="BH20" i="6"/>
  <c r="BI19" i="6"/>
  <c r="BH19" i="6"/>
  <c r="BI18" i="6"/>
  <c r="BH18" i="6"/>
  <c r="BI17" i="6"/>
  <c r="BH17" i="6"/>
  <c r="BI16" i="6"/>
  <c r="BH16" i="6"/>
  <c r="BI15" i="6"/>
  <c r="BH15" i="6"/>
  <c r="BI14" i="6"/>
  <c r="BH14" i="6"/>
  <c r="BI13" i="6"/>
  <c r="BH13" i="6"/>
  <c r="BI12" i="6"/>
  <c r="BH12" i="6"/>
  <c r="BI11" i="6"/>
  <c r="BH11" i="6"/>
  <c r="BI10" i="6"/>
  <c r="BH10" i="6"/>
  <c r="BI9" i="6"/>
  <c r="BH9" i="6"/>
  <c r="BI8" i="6"/>
  <c r="BH8" i="6"/>
  <c r="BI7" i="6"/>
  <c r="BH7" i="6"/>
  <c r="BI6" i="6"/>
  <c r="BH6" i="6"/>
  <c r="BI5" i="6"/>
  <c r="BH5" i="6"/>
  <c r="BE10" i="1"/>
  <c r="BE11" i="1"/>
  <c r="BE12" i="1"/>
  <c r="BE13" i="1"/>
  <c r="BE14" i="1"/>
  <c r="BE15" i="1"/>
  <c r="BE16" i="1"/>
  <c r="BE17" i="1"/>
  <c r="BE18" i="1"/>
  <c r="BE19" i="1"/>
  <c r="BD19" i="1" s="1"/>
  <c r="BE20" i="1"/>
  <c r="BE21" i="1"/>
  <c r="BE22" i="1"/>
  <c r="BE23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8" i="1"/>
  <c r="BE69" i="1"/>
  <c r="BE70" i="1"/>
  <c r="BE71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7" i="1"/>
  <c r="BE208" i="1"/>
  <c r="BE5" i="1"/>
  <c r="BI20" i="5"/>
  <c r="BI21" i="5"/>
  <c r="BI22" i="5"/>
  <c r="BI23" i="5"/>
  <c r="BI24" i="5"/>
  <c r="BI25" i="5"/>
  <c r="BI26" i="5"/>
  <c r="BD26" i="1" s="1"/>
  <c r="BI28" i="5"/>
  <c r="BD28" i="1" s="1"/>
  <c r="BI29" i="5"/>
  <c r="BD29" i="1" s="1"/>
  <c r="BI32" i="5"/>
  <c r="BI33" i="5"/>
  <c r="BI34" i="5"/>
  <c r="BI35" i="5"/>
  <c r="BI36" i="5"/>
  <c r="BI37" i="5"/>
  <c r="BI38" i="5"/>
  <c r="BI39" i="5"/>
  <c r="BI40" i="5"/>
  <c r="BI41" i="5"/>
  <c r="BI42" i="5"/>
  <c r="BI43" i="5"/>
  <c r="BI44" i="5"/>
  <c r="BI45" i="5"/>
  <c r="BI46" i="5"/>
  <c r="BI47" i="5"/>
  <c r="BI48" i="5"/>
  <c r="BI49" i="5"/>
  <c r="BI51" i="5"/>
  <c r="BD51" i="1" s="1"/>
  <c r="BI52" i="5"/>
  <c r="BI53" i="5"/>
  <c r="BI54" i="5"/>
  <c r="BI55" i="5"/>
  <c r="BI56" i="5"/>
  <c r="BI57" i="5"/>
  <c r="BI58" i="5"/>
  <c r="BI59" i="5"/>
  <c r="BI60" i="5"/>
  <c r="BI61" i="5"/>
  <c r="BI62" i="5"/>
  <c r="BI63" i="5"/>
  <c r="BI64" i="5"/>
  <c r="BI65" i="5"/>
  <c r="BI66" i="5"/>
  <c r="BI68" i="5"/>
  <c r="BI69" i="5"/>
  <c r="BI70" i="5"/>
  <c r="BI71" i="5"/>
  <c r="BI72" i="5"/>
  <c r="BI85" i="5"/>
  <c r="BI86" i="5"/>
  <c r="BI87" i="5"/>
  <c r="BI88" i="5"/>
  <c r="BI89" i="5"/>
  <c r="BI90" i="5"/>
  <c r="BI91" i="5"/>
  <c r="BI92" i="5"/>
  <c r="BI93" i="5"/>
  <c r="BI94" i="5"/>
  <c r="BI95" i="5"/>
  <c r="BI96" i="5"/>
  <c r="BI97" i="5"/>
  <c r="BI99" i="5"/>
  <c r="BD99" i="1" s="1"/>
  <c r="BI100" i="5"/>
  <c r="BI101" i="5"/>
  <c r="BI105" i="5"/>
  <c r="BI106" i="5"/>
  <c r="BI107" i="5"/>
  <c r="BI108" i="5"/>
  <c r="BI109" i="5"/>
  <c r="BI110" i="5"/>
  <c r="BI111" i="5"/>
  <c r="BI112" i="5"/>
  <c r="BI113" i="5"/>
  <c r="BI114" i="5"/>
  <c r="BI115" i="5"/>
  <c r="BI116" i="5"/>
  <c r="BI117" i="5"/>
  <c r="BI118" i="5"/>
  <c r="BI119" i="5"/>
  <c r="BI120" i="5"/>
  <c r="BI121" i="5"/>
  <c r="BI122" i="5"/>
  <c r="BI123" i="5"/>
  <c r="BI124" i="5"/>
  <c r="BI125" i="5"/>
  <c r="BI126" i="5"/>
  <c r="BI127" i="5"/>
  <c r="BI128" i="5"/>
  <c r="BI129" i="5"/>
  <c r="BI130" i="5"/>
  <c r="BI131" i="5"/>
  <c r="BI132" i="5"/>
  <c r="BI133" i="5"/>
  <c r="BI135" i="5"/>
  <c r="BD135" i="1" s="1"/>
  <c r="BI136" i="5"/>
  <c r="BI137" i="5"/>
  <c r="BI138" i="5"/>
  <c r="BI141" i="5"/>
  <c r="BD141" i="1" s="1"/>
  <c r="BI142" i="5"/>
  <c r="BD142" i="1" s="1"/>
  <c r="BI143" i="5"/>
  <c r="BI162" i="5"/>
  <c r="BI163" i="5"/>
  <c r="BI164" i="5"/>
  <c r="BI165" i="5"/>
  <c r="BI166" i="5"/>
  <c r="BI167" i="5"/>
  <c r="BI168" i="5"/>
  <c r="BI169" i="5"/>
  <c r="BI170" i="5"/>
  <c r="BI171" i="5"/>
  <c r="BI172" i="5"/>
  <c r="BI173" i="5"/>
  <c r="BI174" i="5"/>
  <c r="BI176" i="5"/>
  <c r="BI177" i="5"/>
  <c r="BI178" i="5"/>
  <c r="BD178" i="1" s="1"/>
  <c r="BI179" i="5"/>
  <c r="BI180" i="5"/>
  <c r="BD180" i="1" s="1"/>
  <c r="BI182" i="5"/>
  <c r="BI183" i="5"/>
  <c r="BI184" i="5"/>
  <c r="BI185" i="5"/>
  <c r="BI186" i="5"/>
  <c r="BI187" i="5"/>
  <c r="BI188" i="5"/>
  <c r="BI189" i="5"/>
  <c r="BI190" i="5"/>
  <c r="BI191" i="5"/>
  <c r="BI192" i="5"/>
  <c r="BI193" i="5"/>
  <c r="BI194" i="5"/>
  <c r="BI195" i="5"/>
  <c r="BI196" i="5"/>
  <c r="BI197" i="5"/>
  <c r="BI198" i="5"/>
  <c r="BI199" i="5"/>
  <c r="BI200" i="5"/>
  <c r="BI201" i="5"/>
  <c r="BI202" i="5"/>
  <c r="BI203" i="5"/>
  <c r="BI205" i="5"/>
  <c r="BD205" i="1" s="1"/>
  <c r="BI206" i="5"/>
  <c r="BI207" i="5"/>
  <c r="BI209" i="5"/>
  <c r="BD209" i="1" s="1"/>
  <c r="BI210" i="5"/>
  <c r="BD210" i="1" s="1"/>
  <c r="BI211" i="5"/>
  <c r="BI212" i="5"/>
  <c r="BI213" i="5"/>
  <c r="BD213" i="1" s="1"/>
  <c r="BI215" i="5"/>
  <c r="BD215" i="1" s="1"/>
  <c r="BI216" i="5"/>
  <c r="BI217" i="5"/>
  <c r="BD217" i="1" s="1"/>
  <c r="BI218" i="5"/>
  <c r="BI219" i="5"/>
  <c r="BI220" i="5"/>
  <c r="BD220" i="1" s="1"/>
  <c r="BH19" i="5"/>
  <c r="BH20" i="5"/>
  <c r="BH21" i="5"/>
  <c r="BH22" i="5"/>
  <c r="BH23" i="5"/>
  <c r="BH24" i="5"/>
  <c r="BH25" i="5"/>
  <c r="BH26" i="5"/>
  <c r="BH28" i="5"/>
  <c r="BH29" i="5"/>
  <c r="BH32" i="5"/>
  <c r="BH33" i="5"/>
  <c r="BH34" i="5"/>
  <c r="BH35" i="5"/>
  <c r="BH36" i="5"/>
  <c r="BH37" i="5"/>
  <c r="BH38" i="5"/>
  <c r="BH39" i="5"/>
  <c r="BH40" i="5"/>
  <c r="BH41" i="5"/>
  <c r="BH42" i="5"/>
  <c r="BH43" i="5"/>
  <c r="BH44" i="5"/>
  <c r="BH45" i="5"/>
  <c r="BH46" i="5"/>
  <c r="BH47" i="5"/>
  <c r="BH48" i="5"/>
  <c r="BH49" i="5"/>
  <c r="BH51" i="5"/>
  <c r="BH52" i="5"/>
  <c r="BH53" i="5"/>
  <c r="BH54" i="5"/>
  <c r="BH55" i="5"/>
  <c r="BH56" i="5"/>
  <c r="BH57" i="5"/>
  <c r="BH58" i="5"/>
  <c r="BH59" i="5"/>
  <c r="BH60" i="5"/>
  <c r="BH61" i="5"/>
  <c r="BH62" i="5"/>
  <c r="BH63" i="5"/>
  <c r="BH64" i="5"/>
  <c r="BH65" i="5"/>
  <c r="BH66" i="5"/>
  <c r="BH68" i="5"/>
  <c r="BH69" i="5"/>
  <c r="BH70" i="5"/>
  <c r="BH71" i="5"/>
  <c r="BH72" i="5"/>
  <c r="BH85" i="5"/>
  <c r="BH86" i="5"/>
  <c r="BH87" i="5"/>
  <c r="BH88" i="5"/>
  <c r="BH89" i="5"/>
  <c r="BH90" i="5"/>
  <c r="BH91" i="5"/>
  <c r="BH92" i="5"/>
  <c r="BH93" i="5"/>
  <c r="BH94" i="5"/>
  <c r="BH95" i="5"/>
  <c r="BH96" i="5"/>
  <c r="BH97" i="5"/>
  <c r="BH99" i="5"/>
  <c r="BH100" i="5"/>
  <c r="BH101" i="5"/>
  <c r="BH105" i="5"/>
  <c r="BH106" i="5"/>
  <c r="BH107" i="5"/>
  <c r="BH108" i="5"/>
  <c r="BH109" i="5"/>
  <c r="BH110" i="5"/>
  <c r="BH111" i="5"/>
  <c r="BH112" i="5"/>
  <c r="BH113" i="5"/>
  <c r="BH114" i="5"/>
  <c r="BH115" i="5"/>
  <c r="BH116" i="5"/>
  <c r="BH117" i="5"/>
  <c r="BH118" i="5"/>
  <c r="BH119" i="5"/>
  <c r="BH120" i="5"/>
  <c r="BH121" i="5"/>
  <c r="BH122" i="5"/>
  <c r="BH123" i="5"/>
  <c r="BH124" i="5"/>
  <c r="BH125" i="5"/>
  <c r="BH126" i="5"/>
  <c r="BH127" i="5"/>
  <c r="BH128" i="5"/>
  <c r="BH129" i="5"/>
  <c r="BH130" i="5"/>
  <c r="BH131" i="5"/>
  <c r="BH132" i="5"/>
  <c r="BH133" i="5"/>
  <c r="BH135" i="5"/>
  <c r="BH136" i="5"/>
  <c r="BH137" i="5"/>
  <c r="BH138" i="5"/>
  <c r="BH141" i="5"/>
  <c r="BH142" i="5"/>
  <c r="BH143" i="5"/>
  <c r="BH162" i="5"/>
  <c r="BH163" i="5"/>
  <c r="BH164" i="5"/>
  <c r="BH165" i="5"/>
  <c r="BH166" i="5"/>
  <c r="BH167" i="5"/>
  <c r="BH168" i="5"/>
  <c r="BH169" i="5"/>
  <c r="BH170" i="5"/>
  <c r="BH171" i="5"/>
  <c r="BH172" i="5"/>
  <c r="BH173" i="5"/>
  <c r="BH174" i="5"/>
  <c r="BH176" i="5"/>
  <c r="BH177" i="5"/>
  <c r="BH178" i="5"/>
  <c r="BH179" i="5"/>
  <c r="BH180" i="5"/>
  <c r="BH182" i="5"/>
  <c r="BH183" i="5"/>
  <c r="BH184" i="5"/>
  <c r="BH185" i="5"/>
  <c r="BH186" i="5"/>
  <c r="BH187" i="5"/>
  <c r="BH188" i="5"/>
  <c r="BH189" i="5"/>
  <c r="BH190" i="5"/>
  <c r="BH191" i="5"/>
  <c r="BH192" i="5"/>
  <c r="BH193" i="5"/>
  <c r="BH194" i="5"/>
  <c r="BH195" i="5"/>
  <c r="BH196" i="5"/>
  <c r="BH197" i="5"/>
  <c r="BH198" i="5"/>
  <c r="BH199" i="5"/>
  <c r="BH200" i="5"/>
  <c r="BH201" i="5"/>
  <c r="BH202" i="5"/>
  <c r="BH203" i="5"/>
  <c r="BH205" i="5"/>
  <c r="BH206" i="5"/>
  <c r="BH207" i="5"/>
  <c r="BH209" i="5"/>
  <c r="BH210" i="5"/>
  <c r="BH211" i="5"/>
  <c r="BH212" i="5"/>
  <c r="BH213" i="5"/>
  <c r="BH215" i="5"/>
  <c r="BH216" i="5"/>
  <c r="BH217" i="5"/>
  <c r="BH218" i="5"/>
  <c r="BH219" i="5"/>
  <c r="BH220" i="5"/>
  <c r="BC105" i="1"/>
  <c r="BC60" i="1"/>
  <c r="BC120" i="1"/>
  <c r="BC203" i="1"/>
  <c r="BC202" i="1"/>
  <c r="BC207" i="1"/>
  <c r="BC123" i="1"/>
  <c r="BC122" i="1"/>
  <c r="BC128" i="1"/>
  <c r="BC127" i="1"/>
  <c r="BC198" i="1"/>
  <c r="BC199" i="1"/>
  <c r="BC197" i="1"/>
  <c r="BC95" i="1"/>
  <c r="BC119" i="1"/>
  <c r="BC52" i="1"/>
  <c r="BC70" i="1"/>
  <c r="BC16" i="1"/>
  <c r="BC118" i="1"/>
  <c r="BC112" i="1"/>
  <c r="BC201" i="1"/>
  <c r="BC196" i="1"/>
  <c r="BC109" i="1"/>
  <c r="BC162" i="1"/>
  <c r="BC195" i="1"/>
  <c r="BC69" i="1"/>
  <c r="BC168" i="1"/>
  <c r="BC188" i="1"/>
  <c r="BC200" i="1"/>
  <c r="BC174" i="1"/>
  <c r="BC53" i="1"/>
  <c r="BC10" i="1"/>
  <c r="BC11" i="1"/>
  <c r="BC12" i="1"/>
  <c r="BC13" i="1"/>
  <c r="BC14" i="1"/>
  <c r="BC15" i="1"/>
  <c r="BC17" i="1"/>
  <c r="BC18" i="1"/>
  <c r="BC19" i="1"/>
  <c r="BC20" i="1"/>
  <c r="BC21" i="1"/>
  <c r="BC22" i="1"/>
  <c r="BC23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4" i="1"/>
  <c r="BC55" i="1"/>
  <c r="BC56" i="1"/>
  <c r="BC57" i="1"/>
  <c r="BC58" i="1"/>
  <c r="BC59" i="1"/>
  <c r="BC61" i="1"/>
  <c r="BC62" i="1"/>
  <c r="BC63" i="1"/>
  <c r="BC64" i="1"/>
  <c r="BC65" i="1"/>
  <c r="BC66" i="1"/>
  <c r="BC68" i="1"/>
  <c r="BC71" i="1"/>
  <c r="BC87" i="1"/>
  <c r="BC88" i="1"/>
  <c r="BC89" i="1"/>
  <c r="BC90" i="1"/>
  <c r="BC91" i="1"/>
  <c r="BC92" i="1"/>
  <c r="BC93" i="1"/>
  <c r="BC94" i="1"/>
  <c r="BC96" i="1"/>
  <c r="BC106" i="1"/>
  <c r="BC107" i="1"/>
  <c r="BC108" i="1"/>
  <c r="BC110" i="1"/>
  <c r="BC111" i="1"/>
  <c r="BC113" i="1"/>
  <c r="BC114" i="1"/>
  <c r="BC115" i="1"/>
  <c r="BC116" i="1"/>
  <c r="BC117" i="1"/>
  <c r="BC121" i="1"/>
  <c r="BC124" i="1"/>
  <c r="BC125" i="1"/>
  <c r="BC126" i="1"/>
  <c r="BC163" i="1"/>
  <c r="BC164" i="1"/>
  <c r="BC165" i="1"/>
  <c r="BC166" i="1"/>
  <c r="BC167" i="1"/>
  <c r="BC169" i="1"/>
  <c r="BC170" i="1"/>
  <c r="BC171" i="1"/>
  <c r="BC172" i="1"/>
  <c r="BC173" i="1"/>
  <c r="BC182" i="1"/>
  <c r="BC183" i="1"/>
  <c r="BC184" i="1"/>
  <c r="BC185" i="1"/>
  <c r="BC186" i="1"/>
  <c r="BC187" i="1"/>
  <c r="BC189" i="1"/>
  <c r="BC190" i="1"/>
  <c r="BC191" i="1"/>
  <c r="BC192" i="1"/>
  <c r="BC193" i="1"/>
  <c r="BC194" i="1"/>
  <c r="BC208" i="1"/>
  <c r="BC5" i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BD103" i="1" l="1"/>
  <c r="BD101" i="1"/>
  <c r="BD20" i="1"/>
  <c r="BD182" i="1"/>
  <c r="BD98" i="1"/>
  <c r="BD17" i="1"/>
  <c r="BD216" i="1"/>
  <c r="BD100" i="1"/>
  <c r="BD31" i="1"/>
  <c r="BD212" i="1"/>
  <c r="BD62" i="1"/>
  <c r="BD37" i="1"/>
  <c r="BD13" i="1"/>
  <c r="BD138" i="1"/>
  <c r="BD11" i="1"/>
  <c r="BD49" i="1"/>
  <c r="BD22" i="1"/>
  <c r="BD171" i="1"/>
  <c r="BD176" i="1"/>
  <c r="BD207" i="1"/>
  <c r="BD202" i="1"/>
  <c r="BD119" i="1"/>
  <c r="BD190" i="1"/>
  <c r="BD131" i="1"/>
  <c r="BD107" i="1"/>
  <c r="BD18" i="1"/>
  <c r="BD206" i="1"/>
  <c r="BD137" i="1"/>
  <c r="BD10" i="1"/>
  <c r="BD204" i="1"/>
  <c r="BD219" i="1"/>
  <c r="BD170" i="1"/>
  <c r="BD72" i="1"/>
  <c r="BD136" i="1"/>
  <c r="BD179" i="1"/>
  <c r="BD218" i="1"/>
  <c r="BD16" i="1"/>
  <c r="BD15" i="1"/>
  <c r="BD88" i="1"/>
  <c r="BD63" i="1"/>
  <c r="BD38" i="1"/>
  <c r="BD14" i="1"/>
  <c r="BD139" i="1"/>
  <c r="BD177" i="1"/>
  <c r="BD214" i="1"/>
  <c r="BD89" i="1"/>
  <c r="BD24" i="1"/>
  <c r="BD143" i="1"/>
  <c r="BD172" i="1"/>
  <c r="BD211" i="1"/>
  <c r="BD21" i="1"/>
  <c r="BD12" i="1"/>
  <c r="BD102" i="1"/>
  <c r="BD134" i="1"/>
  <c r="BD144" i="1"/>
  <c r="BD27" i="1"/>
  <c r="BD25" i="1"/>
  <c r="BD106" i="1"/>
  <c r="BD128" i="1"/>
  <c r="BD116" i="1"/>
  <c r="BD198" i="1"/>
  <c r="BD127" i="1"/>
  <c r="BD115" i="1"/>
  <c r="BD87" i="1"/>
  <c r="BD97" i="1"/>
  <c r="BD85" i="1"/>
  <c r="BD60" i="1"/>
  <c r="BD47" i="1"/>
  <c r="BD35" i="1"/>
  <c r="BD201" i="1"/>
  <c r="BD118" i="1"/>
  <c r="BD117" i="1"/>
  <c r="BD48" i="1"/>
  <c r="BD169" i="1"/>
  <c r="BD96" i="1"/>
  <c r="BD59" i="1"/>
  <c r="BD46" i="1"/>
  <c r="BD34" i="1"/>
  <c r="BD129" i="1"/>
  <c r="BD186" i="1"/>
  <c r="BD36" i="1"/>
  <c r="BD168" i="1"/>
  <c r="BD71" i="1"/>
  <c r="BD58" i="1"/>
  <c r="BD45" i="1"/>
  <c r="BD33" i="1"/>
  <c r="BD187" i="1"/>
  <c r="BD61" i="1"/>
  <c r="BD167" i="1"/>
  <c r="BD130" i="1"/>
  <c r="BD188" i="1"/>
  <c r="BD86" i="1"/>
  <c r="BD166" i="1"/>
  <c r="BD189" i="1"/>
  <c r="BD200" i="1"/>
  <c r="BD105" i="1"/>
  <c r="BD199" i="1"/>
  <c r="BD203" i="1"/>
  <c r="BD191" i="1"/>
  <c r="BD132" i="1"/>
  <c r="BD120" i="1"/>
  <c r="BD108" i="1"/>
  <c r="BD114" i="1"/>
  <c r="BD184" i="1"/>
  <c r="BD193" i="1"/>
  <c r="BD5" i="1"/>
  <c r="BD197" i="1"/>
  <c r="BD126" i="1"/>
  <c r="BD113" i="1"/>
  <c r="BD195" i="1"/>
  <c r="BD124" i="1"/>
  <c r="BD94" i="1"/>
  <c r="BD192" i="1"/>
  <c r="BD133" i="1"/>
  <c r="BD121" i="1"/>
  <c r="BD109" i="1"/>
  <c r="BD93" i="1"/>
  <c r="BD69" i="1"/>
  <c r="BD56" i="1"/>
  <c r="BD43" i="1"/>
  <c r="BD125" i="1"/>
  <c r="BD112" i="1"/>
  <c r="BD32" i="1"/>
  <c r="BD165" i="1"/>
  <c r="BD92" i="1"/>
  <c r="BD68" i="1"/>
  <c r="BD55" i="1"/>
  <c r="BD42" i="1"/>
  <c r="BD194" i="1"/>
  <c r="BD95" i="1"/>
  <c r="BD57" i="1"/>
  <c r="BD164" i="1"/>
  <c r="BD91" i="1"/>
  <c r="BD66" i="1"/>
  <c r="BD54" i="1"/>
  <c r="BD41" i="1"/>
  <c r="BD185" i="1"/>
  <c r="BD111" i="1"/>
  <c r="BD122" i="1"/>
  <c r="BD44" i="1"/>
  <c r="BD163" i="1"/>
  <c r="BD90" i="1"/>
  <c r="BD65" i="1"/>
  <c r="BD53" i="1"/>
  <c r="BD40" i="1"/>
  <c r="BD50" i="1"/>
  <c r="BD70" i="1"/>
  <c r="BD174" i="1"/>
  <c r="BD162" i="1"/>
  <c r="BD64" i="1"/>
  <c r="BD52" i="1"/>
  <c r="BD39" i="1"/>
  <c r="BD196" i="1"/>
  <c r="BD183" i="1"/>
  <c r="BD123" i="1"/>
  <c r="BD110" i="1"/>
  <c r="BD173" i="1"/>
  <c r="BD23" i="1"/>
  <c r="BD208" i="1"/>
</calcChain>
</file>

<file path=xl/sharedStrings.xml><?xml version="1.0" encoding="utf-8"?>
<sst xmlns="http://schemas.openxmlformats.org/spreadsheetml/2006/main" count="2930" uniqueCount="458">
  <si>
    <t>Student Name</t>
  </si>
  <si>
    <t>House</t>
  </si>
  <si>
    <t>Care Group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</si>
  <si>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</si>
  <si>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</si>
  <si>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</si>
  <si>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</si>
  <si>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</si>
  <si>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</si>
  <si>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</si>
  <si>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</si>
  <si>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</si>
  <si>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</si>
  <si>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Distance per lap (km):</t>
  </si>
  <si>
    <t> Ardrossan </t>
  </si>
  <si>
    <t xml:space="preserve"> Ardrossan </t>
  </si>
  <si>
    <t> Pine Point </t>
  </si>
  <si>
    <t xml:space="preserve"> Pine Point </t>
  </si>
  <si>
    <t> Port Vincent </t>
  </si>
  <si>
    <t xml:space="preserve"> Port Vincent </t>
  </si>
  <si>
    <t> Stansbury </t>
  </si>
  <si>
    <t xml:space="preserve"> Stansbury </t>
  </si>
  <si>
    <t> Wool Bay </t>
  </si>
  <si>
    <t xml:space="preserve"> Wool Bay </t>
  </si>
  <si>
    <t> Edithburgh </t>
  </si>
  <si>
    <t xml:space="preserve"> Edithburgh </t>
  </si>
  <si>
    <t xml:space="preserve"> Troubridge Point </t>
  </si>
  <si>
    <t> Marion Bay </t>
  </si>
  <si>
    <t xml:space="preserve"> Marion Bay </t>
  </si>
  <si>
    <t> Corny Point </t>
  </si>
  <si>
    <t xml:space="preserve"> Corny Point </t>
  </si>
  <si>
    <t> Warooka </t>
  </si>
  <si>
    <t xml:space="preserve"> Warooka </t>
  </si>
  <si>
    <t> Maitland </t>
  </si>
  <si>
    <t xml:space="preserve"> Maitland </t>
  </si>
  <si>
    <t> Moonta </t>
  </si>
  <si>
    <t xml:space="preserve"> Moonta </t>
  </si>
  <si>
    <t> Wallaroo </t>
  </si>
  <si>
    <t xml:space="preserve"> Wallaroo </t>
  </si>
  <si>
    <t> Kadina </t>
  </si>
  <si>
    <t xml:space="preserve"> Port Wakefield</t>
  </si>
  <si>
    <t xml:space="preserve"> Port Clinton</t>
  </si>
  <si>
    <t xml:space="preserve"> Point Turton</t>
  </si>
  <si>
    <t xml:space="preserve"> Minlaton</t>
  </si>
  <si>
    <t xml:space="preserve"> Port Victoria</t>
  </si>
  <si>
    <t>Between distances</t>
  </si>
  <si>
    <t>Accumulative Disctances</t>
  </si>
  <si>
    <t>Lap of Yorke Peninsula</t>
  </si>
  <si>
    <t>MS5</t>
  </si>
  <si>
    <t>SPENCER</t>
  </si>
  <si>
    <t>MS1</t>
  </si>
  <si>
    <t>MS2</t>
  </si>
  <si>
    <t>1/2LC</t>
  </si>
  <si>
    <t>RE</t>
  </si>
  <si>
    <t>RKC</t>
  </si>
  <si>
    <t>4JH</t>
  </si>
  <si>
    <t>3LB</t>
  </si>
  <si>
    <t>MS4</t>
  </si>
  <si>
    <t>4/5CR</t>
  </si>
  <si>
    <t>10CF</t>
  </si>
  <si>
    <t>12KC</t>
  </si>
  <si>
    <t>MS3</t>
  </si>
  <si>
    <t>R/1</t>
  </si>
  <si>
    <t>11DF</t>
  </si>
  <si>
    <t>VINCENT</t>
  </si>
  <si>
    <t>Summer Humphrys</t>
  </si>
  <si>
    <t>YORKE</t>
  </si>
  <si>
    <t>Alfie Crosby</t>
  </si>
  <si>
    <t>Year</t>
  </si>
  <si>
    <t>Distances from Minlaton</t>
  </si>
  <si>
    <t> Brentwood </t>
  </si>
  <si>
    <t> Port Moorowie </t>
  </si>
  <si>
    <t> Coobowie </t>
  </si>
  <si>
    <t> Curramulka </t>
  </si>
  <si>
    <t> Balgowan </t>
  </si>
  <si>
    <t> The Pines </t>
  </si>
  <si>
    <t> Yorketown</t>
  </si>
  <si>
    <t> Port Victoria</t>
  </si>
  <si>
    <t> Point Turton</t>
  </si>
  <si>
    <t>Minlaton</t>
  </si>
  <si>
    <t>Rise and Run Club</t>
  </si>
  <si>
    <t>Tuesday</t>
  </si>
  <si>
    <t>Wednesday</t>
  </si>
  <si>
    <t>Thursday</t>
  </si>
  <si>
    <t>Friday</t>
  </si>
  <si>
    <t>Baillie Bennett</t>
  </si>
  <si>
    <t>Leo Glazbrook</t>
  </si>
  <si>
    <t>Xander Leong</t>
  </si>
  <si>
    <t>Liam Pluta</t>
  </si>
  <si>
    <t>Livia Pluta</t>
  </si>
  <si>
    <t>Finn Glazbrook</t>
  </si>
  <si>
    <t>Maeve Honner</t>
  </si>
  <si>
    <t>Willow Smith</t>
  </si>
  <si>
    <t>Bailey Smith</t>
  </si>
  <si>
    <t>Jorja Bennett</t>
  </si>
  <si>
    <t>Rosie Cock</t>
  </si>
  <si>
    <t>Billy Kneebone</t>
  </si>
  <si>
    <t>Max Kneebone</t>
  </si>
  <si>
    <t>Maggie Cock</t>
  </si>
  <si>
    <t>Ryeley Dutschke</t>
  </si>
  <si>
    <t>Eric Dodd</t>
  </si>
  <si>
    <t>Liam Rohde</t>
  </si>
  <si>
    <t>Gabe McWaters</t>
  </si>
  <si>
    <t>Elsie Dodd</t>
  </si>
  <si>
    <t>Leland Judd</t>
  </si>
  <si>
    <t>Harrison Judd</t>
  </si>
  <si>
    <t>Noah McDonnell</t>
  </si>
  <si>
    <t>Axyl Williams</t>
  </si>
  <si>
    <t>Owen Rohde</t>
  </si>
  <si>
    <t>Jimmy Honner</t>
  </si>
  <si>
    <t>Rhett Williams</t>
  </si>
  <si>
    <t>Zara Thomas</t>
  </si>
  <si>
    <t>Aryan Singh</t>
  </si>
  <si>
    <t>Harper Judd</t>
  </si>
  <si>
    <t>Alexis Leong</t>
  </si>
  <si>
    <t>Henley Dutschke</t>
  </si>
  <si>
    <t>NAME</t>
  </si>
  <si>
    <t>Tues</t>
  </si>
  <si>
    <t>Wed</t>
  </si>
  <si>
    <t>Thur</t>
  </si>
  <si>
    <t>Fri</t>
  </si>
  <si>
    <t>TOTAL</t>
  </si>
  <si>
    <t>George Preedy</t>
  </si>
  <si>
    <t>Bella Weir</t>
  </si>
  <si>
    <t>Rose Gibson</t>
  </si>
  <si>
    <t>Dexter Kokar</t>
  </si>
  <si>
    <t>Harry Bray</t>
  </si>
  <si>
    <t>Freddy Crosby</t>
  </si>
  <si>
    <t>Adeline Crosby</t>
  </si>
  <si>
    <t>Josie Cook</t>
  </si>
  <si>
    <t>Billy Spiers</t>
  </si>
  <si>
    <t>Savannah M</t>
  </si>
  <si>
    <t>Maddi Warrior</t>
  </si>
  <si>
    <t>Penelope Kokar</t>
  </si>
  <si>
    <t>Charlie Hoyle</t>
  </si>
  <si>
    <t>Oscar Bray</t>
  </si>
  <si>
    <t>Dusty Redding</t>
  </si>
  <si>
    <t>Jakob Hoyle</t>
  </si>
  <si>
    <t>Mitchell Cook</t>
  </si>
  <si>
    <t>James Mahar</t>
  </si>
  <si>
    <t>Celeste Redding</t>
  </si>
  <si>
    <t>Bryce Cranwell</t>
  </si>
  <si>
    <t>Hurley Cranwell</t>
  </si>
  <si>
    <t>Max Bray</t>
  </si>
  <si>
    <t>Grace Bennett</t>
  </si>
  <si>
    <t>Rory Bray</t>
  </si>
  <si>
    <t>India Baillie</t>
  </si>
  <si>
    <t>Ayla Cranwell</t>
  </si>
  <si>
    <t>Lachlan Hudson</t>
  </si>
  <si>
    <t>Maddie Lewis</t>
  </si>
  <si>
    <t>Kira Weir</t>
  </si>
  <si>
    <t>Nate Shearer</t>
  </si>
  <si>
    <t>Hugh Germaine</t>
  </si>
  <si>
    <t>Hudson Aish</t>
  </si>
  <si>
    <t>Sophie Martin</t>
  </si>
  <si>
    <t>Nate Modra</t>
  </si>
  <si>
    <t>Halle May</t>
  </si>
  <si>
    <t>Sid McDonald</t>
  </si>
  <si>
    <t>Finn McDonald</t>
  </si>
  <si>
    <t>Tuleah Jeffrey</t>
  </si>
  <si>
    <t>Kira Lennerth</t>
  </si>
  <si>
    <t>Brayden Shearer</t>
  </si>
  <si>
    <t>Marlie Jeffrey</t>
  </si>
  <si>
    <t>Claire Martin</t>
  </si>
  <si>
    <t>Loretta</t>
  </si>
  <si>
    <t>Hunter Humphrys</t>
  </si>
  <si>
    <t>Harlee Moore</t>
  </si>
  <si>
    <t>Total Term Laps</t>
  </si>
  <si>
    <t>Total Term Distance (km)</t>
  </si>
  <si>
    <t>Regan M</t>
  </si>
  <si>
    <t>Tahliah J</t>
  </si>
  <si>
    <t>Lillian J</t>
  </si>
  <si>
    <t>Summer H</t>
  </si>
  <si>
    <t>Tai S</t>
  </si>
  <si>
    <t>ADELINE H</t>
  </si>
  <si>
    <t>TYLER L</t>
  </si>
  <si>
    <t>ANGUS L</t>
  </si>
  <si>
    <t>TILLI M</t>
  </si>
  <si>
    <t>BRAYDEN S</t>
  </si>
  <si>
    <t xml:space="preserve">Lowan </t>
  </si>
  <si>
    <t>NOAH M</t>
  </si>
  <si>
    <t>ALEXIS K</t>
  </si>
  <si>
    <t>MARLIE J</t>
  </si>
  <si>
    <t>Charlee J</t>
  </si>
  <si>
    <t>Reggie G</t>
  </si>
  <si>
    <t>COREY J</t>
  </si>
  <si>
    <t>NATE K</t>
  </si>
  <si>
    <t>TIDA H</t>
  </si>
  <si>
    <t>LILEE G</t>
  </si>
  <si>
    <t>Brayden K</t>
  </si>
  <si>
    <t>Will Mc</t>
  </si>
  <si>
    <t>HALLE M</t>
  </si>
  <si>
    <t>LACHLAN L</t>
  </si>
  <si>
    <t>RUBI H</t>
  </si>
  <si>
    <t>NATE S</t>
  </si>
  <si>
    <t>HARPER M</t>
  </si>
  <si>
    <t>Loretta J</t>
  </si>
  <si>
    <t>SOPHIE M</t>
  </si>
  <si>
    <t>KIRA L</t>
  </si>
  <si>
    <t>Paige M</t>
  </si>
  <si>
    <t>SID M</t>
  </si>
  <si>
    <t>EVIE M</t>
  </si>
  <si>
    <t>TULEAH J</t>
  </si>
  <si>
    <t>JOSH J</t>
  </si>
  <si>
    <t>JADEN M</t>
  </si>
  <si>
    <t>NATE M</t>
  </si>
  <si>
    <t>HUNTER H</t>
  </si>
  <si>
    <t>HUDSON A</t>
  </si>
  <si>
    <t>OSCAR M</t>
  </si>
  <si>
    <t>Ethan G</t>
  </si>
  <si>
    <t>HAMISH C</t>
  </si>
  <si>
    <t>GEORGE B</t>
  </si>
  <si>
    <t>ARYAN</t>
  </si>
  <si>
    <t>MAGGIE N</t>
  </si>
  <si>
    <t>CLAIRE M</t>
  </si>
  <si>
    <t>CHARLIE H</t>
  </si>
  <si>
    <t>HUGH G</t>
  </si>
  <si>
    <t>MITCHELL B</t>
  </si>
  <si>
    <t>HARLEE M</t>
  </si>
  <si>
    <t>FINN M</t>
  </si>
  <si>
    <t>SAM L</t>
  </si>
  <si>
    <t>Indie R</t>
  </si>
  <si>
    <t>Toby J</t>
  </si>
  <si>
    <t>Alfie F</t>
  </si>
  <si>
    <t>OLLIE C</t>
  </si>
  <si>
    <t>GABRIEL M</t>
  </si>
  <si>
    <t>NOAH H</t>
  </si>
  <si>
    <t>ELLIE P</t>
  </si>
  <si>
    <t>HARPER J</t>
  </si>
  <si>
    <t>ROSIE C</t>
  </si>
  <si>
    <t>ERIC D</t>
  </si>
  <si>
    <t>HARRISON J</t>
  </si>
  <si>
    <t>CHARLIE P</t>
  </si>
  <si>
    <t>EVALYN M</t>
  </si>
  <si>
    <t>SAXON W</t>
  </si>
  <si>
    <t>FINN G</t>
  </si>
  <si>
    <t>GEORGINA B</t>
  </si>
  <si>
    <t>JORJA B</t>
  </si>
  <si>
    <t>LIAM P</t>
  </si>
  <si>
    <t>XANDER L</t>
  </si>
  <si>
    <t>Harry D</t>
  </si>
  <si>
    <t>Stan T</t>
  </si>
  <si>
    <t>KHWAHISH D</t>
  </si>
  <si>
    <t>EVIE T</t>
  </si>
  <si>
    <t>ALEXIS L</t>
  </si>
  <si>
    <t>HENLEY D</t>
  </si>
  <si>
    <t>LARA C</t>
  </si>
  <si>
    <t>LELAND J</t>
  </si>
  <si>
    <t>BILLY K</t>
  </si>
  <si>
    <t>ALEX Y</t>
  </si>
  <si>
    <t>CONNOR C</t>
  </si>
  <si>
    <t>Haleigh S</t>
  </si>
  <si>
    <t>ANAIS G</t>
  </si>
  <si>
    <t xml:space="preserve">AXYL W </t>
  </si>
  <si>
    <t>DREY W</t>
  </si>
  <si>
    <t>NOAH MC</t>
  </si>
  <si>
    <t>ELIJHA MC</t>
  </si>
  <si>
    <t>WILL C</t>
  </si>
  <si>
    <t>NATE H</t>
  </si>
  <si>
    <t>MAEVE H</t>
  </si>
  <si>
    <t>LEVI J</t>
  </si>
  <si>
    <t>MAX K</t>
  </si>
  <si>
    <t>ELSIE D</t>
  </si>
  <si>
    <t>RYELEY D</t>
  </si>
  <si>
    <t>LEO G</t>
  </si>
  <si>
    <t>JIMMY H</t>
  </si>
  <si>
    <t>OWEN R</t>
  </si>
  <si>
    <t>MAGGIE C</t>
  </si>
  <si>
    <t>KYDEN M</t>
  </si>
  <si>
    <t>LIAM R</t>
  </si>
  <si>
    <t>BAILEY S</t>
  </si>
  <si>
    <t>ZARA T</t>
  </si>
  <si>
    <t>RHETT W</t>
  </si>
  <si>
    <t>BAILLIE B</t>
  </si>
  <si>
    <t>ISABELLA E</t>
  </si>
  <si>
    <t>LIVIA P</t>
  </si>
  <si>
    <t>WILLOW S</t>
  </si>
  <si>
    <t>LOUIS B</t>
  </si>
  <si>
    <t>OLIVER C</t>
  </si>
  <si>
    <t>BONNIE C</t>
  </si>
  <si>
    <t>Adeline C</t>
  </si>
  <si>
    <t>BRYCE C</t>
  </si>
  <si>
    <t>HURLEY C</t>
  </si>
  <si>
    <t>Charlie B</t>
  </si>
  <si>
    <t>Xavier K</t>
  </si>
  <si>
    <t>Will C</t>
  </si>
  <si>
    <t>Archie C</t>
  </si>
  <si>
    <t>Freddie C</t>
  </si>
  <si>
    <t>Emilee B</t>
  </si>
  <si>
    <t>GRACE B</t>
  </si>
  <si>
    <t>HARVEY G</t>
  </si>
  <si>
    <t>MAX B</t>
  </si>
  <si>
    <t>Maison D</t>
  </si>
  <si>
    <t>LACHIE H</t>
  </si>
  <si>
    <t>LUCY B</t>
  </si>
  <si>
    <t>Annabelle C</t>
  </si>
  <si>
    <t>Alexander R</t>
  </si>
  <si>
    <t>Josh C</t>
  </si>
  <si>
    <t>Taysan G</t>
  </si>
  <si>
    <t>Bailey D</t>
  </si>
  <si>
    <t>Riley H</t>
  </si>
  <si>
    <t>Jackson B</t>
  </si>
  <si>
    <t>MAX H</t>
  </si>
  <si>
    <t>BELLA W</t>
  </si>
  <si>
    <t>DUSTY R</t>
  </si>
  <si>
    <t>CELESTE R</t>
  </si>
  <si>
    <t>HARRIET M</t>
  </si>
  <si>
    <t>JAKOB H</t>
  </si>
  <si>
    <t>Judd W</t>
  </si>
  <si>
    <t>BILLY S</t>
  </si>
  <si>
    <t>GEORGE P</t>
  </si>
  <si>
    <t>AYLA C</t>
  </si>
  <si>
    <t xml:space="preserve">JOSIE </t>
  </si>
  <si>
    <t>RORY B</t>
  </si>
  <si>
    <t>HARRY B</t>
  </si>
  <si>
    <t>INDIA B</t>
  </si>
  <si>
    <t>DEXTER K</t>
  </si>
  <si>
    <t>ROSE G</t>
  </si>
  <si>
    <t>JAMES M</t>
  </si>
  <si>
    <t>MITCHELL C</t>
  </si>
  <si>
    <t>Henry G</t>
  </si>
  <si>
    <t>KIRA W</t>
  </si>
  <si>
    <t>MADDI W</t>
  </si>
  <si>
    <t>PENELOPE K</t>
  </si>
  <si>
    <t>Alfie C</t>
  </si>
  <si>
    <t>OSCAR B</t>
  </si>
  <si>
    <t>LEVI D</t>
  </si>
  <si>
    <t>MADDIE L</t>
  </si>
  <si>
    <t>Axel C</t>
  </si>
  <si>
    <t>Alison M</t>
  </si>
  <si>
    <t>Henry Y</t>
  </si>
  <si>
    <t>Charlie M</t>
  </si>
  <si>
    <t>Amos H</t>
  </si>
  <si>
    <t>Destiny C</t>
  </si>
  <si>
    <t>Mrs C</t>
  </si>
  <si>
    <t>Teacher</t>
  </si>
  <si>
    <t>Zoe B</t>
  </si>
  <si>
    <t>Rick Cook</t>
  </si>
  <si>
    <t>Skylah S</t>
  </si>
  <si>
    <t>Week 1</t>
  </si>
  <si>
    <t>Total Term 1 Distance (km)</t>
  </si>
  <si>
    <t>Total Year Distance (km)</t>
  </si>
  <si>
    <t>ALEX S</t>
  </si>
  <si>
    <t>AMELIA C</t>
  </si>
  <si>
    <t>MAGGIE S</t>
  </si>
  <si>
    <t>BEN W</t>
  </si>
  <si>
    <t>KOURTNEY H</t>
  </si>
  <si>
    <t>CALEB H</t>
  </si>
  <si>
    <t>OLIVER P</t>
  </si>
  <si>
    <t>ELEANOR L</t>
  </si>
  <si>
    <t>TOM Mc</t>
  </si>
  <si>
    <t>OLIVE R</t>
  </si>
  <si>
    <t>NATE R</t>
  </si>
  <si>
    <t>SLOANE R</t>
  </si>
  <si>
    <t>RYLEE M</t>
  </si>
  <si>
    <t>R/1ZG</t>
  </si>
  <si>
    <t>PEYTON V</t>
  </si>
  <si>
    <t>HALEIGH S</t>
  </si>
  <si>
    <t>DYLAN T</t>
  </si>
  <si>
    <t>STAN T</t>
  </si>
  <si>
    <t>HARRY D</t>
  </si>
  <si>
    <t>DESTINY C</t>
  </si>
  <si>
    <t>ALISON M</t>
  </si>
  <si>
    <t>ETHAN G</t>
  </si>
  <si>
    <t>LILY M</t>
  </si>
  <si>
    <t>SKYLAH S</t>
  </si>
  <si>
    <t>PAIGE M</t>
  </si>
  <si>
    <t>WILL Mc</t>
  </si>
  <si>
    <t>BRAYDEN K</t>
  </si>
  <si>
    <t>TAHLIAH J</t>
  </si>
  <si>
    <t>LILLIAN J</t>
  </si>
  <si>
    <t>REGGIE G</t>
  </si>
  <si>
    <t>CHARLEE J</t>
  </si>
  <si>
    <t>REGAN M</t>
  </si>
  <si>
    <t>LOWAN C</t>
  </si>
  <si>
    <t>TAI S</t>
  </si>
  <si>
    <t>SUMMER H</t>
  </si>
  <si>
    <t>LORETTA J</t>
  </si>
  <si>
    <t>AMOS H</t>
  </si>
  <si>
    <t>KATHERINE S</t>
  </si>
  <si>
    <t>GEORGE J</t>
  </si>
  <si>
    <t>R1ZG</t>
  </si>
  <si>
    <t>ELLA C</t>
  </si>
  <si>
    <t>MRS HILLS</t>
  </si>
  <si>
    <t>ADELINE C</t>
  </si>
  <si>
    <t>AXEL C</t>
  </si>
  <si>
    <t>ALFIE C</t>
  </si>
  <si>
    <t>HENRY G</t>
  </si>
  <si>
    <t>JOSIE C</t>
  </si>
  <si>
    <t>JUDD W</t>
  </si>
  <si>
    <t>JACKSON B</t>
  </si>
  <si>
    <t>RILEY H</t>
  </si>
  <si>
    <t>BAILEY D</t>
  </si>
  <si>
    <t>TAYSAN G</t>
  </si>
  <si>
    <t>JOSH C</t>
  </si>
  <si>
    <t>ALEXANDER R</t>
  </si>
  <si>
    <t>ANNABELLE C</t>
  </si>
  <si>
    <t>CHARLIE M</t>
  </si>
  <si>
    <t>MAISON D</t>
  </si>
  <si>
    <t>HENRY Y</t>
  </si>
  <si>
    <t>EMILEE B</t>
  </si>
  <si>
    <t>FREDDIE C</t>
  </si>
  <si>
    <t>ARCHIE C</t>
  </si>
  <si>
    <t>LAYLA C</t>
  </si>
  <si>
    <t>XAVIER K</t>
  </si>
  <si>
    <t>ZOE B</t>
  </si>
  <si>
    <t>CHARLIE B</t>
  </si>
  <si>
    <t>MR COOK</t>
  </si>
  <si>
    <t>SAVANNAH M</t>
  </si>
  <si>
    <t>ELIJAH MC</t>
  </si>
  <si>
    <t>ALFIE F</t>
  </si>
  <si>
    <t>TOBY J</t>
  </si>
  <si>
    <t>INDIE R</t>
  </si>
  <si>
    <t xml:space="preserve">LOWAN C </t>
  </si>
  <si>
    <t>ARCHER Y</t>
  </si>
  <si>
    <t>MRS C</t>
  </si>
  <si>
    <t>BRIDGET C</t>
  </si>
  <si>
    <t>BRIDGET COOK</t>
  </si>
  <si>
    <t>AVALEN G</t>
  </si>
  <si>
    <t xml:space="preserve">ADDISON </t>
  </si>
  <si>
    <t>ADDISON</t>
  </si>
  <si>
    <t>ELI T</t>
  </si>
  <si>
    <t>BROCK R</t>
  </si>
  <si>
    <t>LARISSA R</t>
  </si>
  <si>
    <t>MIA V</t>
  </si>
  <si>
    <t>JETT P</t>
  </si>
  <si>
    <t>PAITEN G</t>
  </si>
  <si>
    <t>ISOBEL C</t>
  </si>
  <si>
    <t>ANGUS C</t>
  </si>
  <si>
    <t>CALLUM H</t>
  </si>
  <si>
    <t>SHANAID S</t>
  </si>
  <si>
    <t>MASON G</t>
  </si>
  <si>
    <t>SIENNA Mc</t>
  </si>
  <si>
    <t>EDDIE S</t>
  </si>
  <si>
    <t>SOPHIE C</t>
  </si>
  <si>
    <t>CASEY S</t>
  </si>
  <si>
    <t>RILEY S</t>
  </si>
  <si>
    <t>BRIGETTE R</t>
  </si>
  <si>
    <t>ALIAH D</t>
  </si>
  <si>
    <t>LOGAN O</t>
  </si>
  <si>
    <t>SAM M</t>
  </si>
  <si>
    <t>LENNY S</t>
  </si>
  <si>
    <t>MR COOMBE</t>
  </si>
  <si>
    <t>MADI G</t>
  </si>
  <si>
    <t>LOGAN C</t>
  </si>
  <si>
    <t>MR TALBOT</t>
  </si>
  <si>
    <t>OLIVIA E</t>
  </si>
  <si>
    <t>IVY C</t>
  </si>
  <si>
    <t>BREE W</t>
  </si>
  <si>
    <t>JAYLA W</t>
  </si>
  <si>
    <t>SACHMAN</t>
  </si>
  <si>
    <t>OLIVIA C</t>
  </si>
  <si>
    <t>MEGAN N</t>
  </si>
  <si>
    <t>MRS STUTLEY</t>
  </si>
  <si>
    <t>JAY JAY</t>
  </si>
  <si>
    <t>EDWARD L</t>
  </si>
  <si>
    <t>CAROLYN S</t>
  </si>
  <si>
    <t>MYLES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</si>
</sst>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000000"/>
      <name val="Arial"/>
      <family val="2"/>
    </font>
    <font>
      <sz val="72"/>
      <color rgb="FFFF0000"/>
      <name val="Arial"/>
      <family val="2"/>
    </font>
    <font>
      <sz val="24"/>
      <color rgb="FF4C94D8"/>
      <name val="Arial"/>
      <family val="2"/>
    </font>
    <font>
      <sz val="72"/>
      <color rgb="FF00B050"/>
      <name val="Arial"/>
      <family val="2"/>
    </font>
    <font>
      <sz val="24"/>
      <color rgb="FF00B050"/>
      <name val="Arial"/>
      <family val="2"/>
    </font>
    <font>
      <sz val="9"/>
      <color rgb="FF4C94D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12" borderId="1" xfId="0" applyFill="1" applyBorder="1"/>
    <xf numFmtId="0" fontId="0" fillId="3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2" fillId="9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2" borderId="1" xfId="0" applyFill="1" applyBorder="1"/>
    <xf numFmtId="0" fontId="0" fillId="2" borderId="1" xfId="0" applyNumberFormat="1" applyFill="1" applyBorder="1"/>
    <xf numFmtId="0" fontId="0" fillId="14" borderId="1" xfId="0" applyFill="1" applyBorder="1"/>
    <xf numFmtId="0" fontId="0" fillId="14" borderId="1" xfId="0" applyNumberFormat="1" applyFill="1" applyBorder="1"/>
    <xf numFmtId="0" fontId="0" fillId="15" borderId="1" xfId="0" applyFill="1" applyBorder="1"/>
    <xf numFmtId="0" fontId="0" fillId="15" borderId="1" xfId="0" applyNumberFormat="1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Fill="1" applyBorder="1"/>
    <xf numFmtId="0" fontId="0" fillId="0" borderId="0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B2EF-30E9-44A0-AFF1-956C44FD73DE}">
  <sheetPr codeName="Sheet1"/>
  <dimension ref="A1:BE241"/>
  <sheetViews>
    <sheetView topLeftCell="A129" workbookViewId="0">
      <pane xSplit="1" topLeftCell="AS1" activePane="topRight" state="frozen"/>
      <selection pane="topRight" activeCell="A160" sqref="A160"/>
    </sheetView>
  </sheetViews>
  <sheetFormatPr defaultRowHeight="15" x14ac:dyDescent="0.25"/>
  <cols>
    <col min="1" max="1" width="25.85546875" customWidth="1"/>
    <col min="2" max="2" width="19.140625" bestFit="1" customWidth="1"/>
    <col min="3" max="3" width="8.140625" bestFit="1" customWidth="1"/>
    <col min="4" max="4" width="10.42578125" bestFit="1" customWidth="1"/>
    <col min="9" max="9" width="1.7109375" style="4" customWidth="1"/>
    <col min="14" max="14" width="1.85546875" style="4" customWidth="1"/>
    <col min="19" max="19" width="1.85546875" style="4" customWidth="1"/>
    <col min="24" max="24" width="2.140625" style="4" customWidth="1"/>
    <col min="29" max="29" width="2" style="4" customWidth="1"/>
    <col min="34" max="34" width="1.5703125" style="4" customWidth="1"/>
    <col min="39" max="39" width="2" style="4" customWidth="1"/>
    <col min="44" max="44" width="1.42578125" style="4" customWidth="1"/>
    <col min="49" max="49" width="1.7109375" style="4" customWidth="1"/>
    <col min="54" max="54" width="1.85546875" style="4" customWidth="1"/>
    <col min="55" max="55" width="20" style="46" customWidth="1"/>
    <col min="56" max="57" width="23.42578125" style="47" bestFit="1" customWidth="1"/>
  </cols>
  <sheetData>
    <row r="1" spans="1:57" ht="23.25" x14ac:dyDescent="0.35">
      <c r="A1" s="3" t="s">
        <v>80</v>
      </c>
    </row>
    <row r="2" spans="1:57" x14ac:dyDescent="0.25">
      <c r="B2" s="2" t="s">
        <v>13</v>
      </c>
      <c r="D2" s="2">
        <v>0.3</v>
      </c>
      <c r="F2" s="2"/>
      <c r="G2" s="2"/>
      <c r="H2" s="2"/>
      <c r="I2" s="5"/>
      <c r="K2" s="2"/>
      <c r="L2" s="2"/>
      <c r="M2" s="2"/>
      <c r="N2" s="5"/>
      <c r="P2" s="2"/>
      <c r="Q2" s="2"/>
    </row>
    <row r="3" spans="1:57" x14ac:dyDescent="0.25">
      <c r="C3" s="1"/>
      <c r="E3" s="14" t="s">
        <v>3</v>
      </c>
      <c r="F3" s="14"/>
      <c r="G3" s="14"/>
      <c r="H3" s="14"/>
      <c r="I3" s="15"/>
      <c r="J3" s="16" t="s">
        <v>4</v>
      </c>
      <c r="K3" s="16"/>
      <c r="L3" s="16"/>
      <c r="M3" s="16"/>
      <c r="N3" s="15"/>
      <c r="O3" s="14" t="s">
        <v>5</v>
      </c>
      <c r="P3" s="14"/>
      <c r="Q3" s="14"/>
      <c r="R3" s="14"/>
      <c r="S3" s="15"/>
      <c r="T3" s="16" t="s">
        <v>6</v>
      </c>
      <c r="U3" s="16"/>
      <c r="V3" s="16"/>
      <c r="W3" s="16"/>
      <c r="X3" s="15"/>
      <c r="Y3" s="14" t="s">
        <v>7</v>
      </c>
      <c r="Z3" s="14"/>
      <c r="AA3" s="14"/>
      <c r="AB3" s="14"/>
      <c r="AC3" s="15"/>
      <c r="AD3" s="16" t="s">
        <v>8</v>
      </c>
      <c r="AE3" s="16"/>
      <c r="AF3" s="16"/>
      <c r="AG3" s="16"/>
      <c r="AH3" s="15"/>
      <c r="AI3" s="14" t="s">
        <v>9</v>
      </c>
      <c r="AJ3" s="14"/>
      <c r="AK3" s="14"/>
      <c r="AL3" s="14"/>
      <c r="AM3" s="15"/>
      <c r="AN3" s="16" t="s">
        <v>10</v>
      </c>
      <c r="AO3" s="16"/>
      <c r="AP3" s="16"/>
      <c r="AQ3" s="16"/>
      <c r="AR3" s="15"/>
      <c r="AS3" s="14" t="s">
        <v>11</v>
      </c>
      <c r="AT3" s="14"/>
      <c r="AU3" s="14"/>
      <c r="AV3" s="14"/>
      <c r="AW3" s="15"/>
      <c r="AX3" s="16" t="s">
        <v>12</v>
      </c>
      <c r="AY3" s="16"/>
      <c r="AZ3" s="16"/>
      <c r="BA3" s="16"/>
      <c r="BB3" s="15"/>
      <c r="BC3" s="48"/>
    </row>
    <row r="4" spans="1:57" x14ac:dyDescent="0.25">
      <c r="A4" t="s">
        <v>0</v>
      </c>
      <c r="B4" t="s">
        <v>68</v>
      </c>
      <c r="C4" t="s">
        <v>1</v>
      </c>
      <c r="D4" t="s">
        <v>2</v>
      </c>
      <c r="E4" s="17" t="s">
        <v>81</v>
      </c>
      <c r="F4" s="18" t="s">
        <v>82</v>
      </c>
      <c r="G4" s="19" t="s">
        <v>83</v>
      </c>
      <c r="H4" s="20" t="s">
        <v>84</v>
      </c>
      <c r="I4" s="15"/>
      <c r="J4" s="21" t="s">
        <v>81</v>
      </c>
      <c r="K4" s="22" t="s">
        <v>82</v>
      </c>
      <c r="L4" s="23" t="s">
        <v>83</v>
      </c>
      <c r="M4" s="24" t="s">
        <v>84</v>
      </c>
      <c r="N4" s="15"/>
      <c r="O4" s="17" t="s">
        <v>81</v>
      </c>
      <c r="P4" s="18" t="s">
        <v>82</v>
      </c>
      <c r="Q4" s="19" t="s">
        <v>83</v>
      </c>
      <c r="R4" s="20" t="s">
        <v>84</v>
      </c>
      <c r="S4" s="15"/>
      <c r="T4" s="21" t="s">
        <v>81</v>
      </c>
      <c r="U4" s="22" t="s">
        <v>82</v>
      </c>
      <c r="V4" s="23" t="s">
        <v>83</v>
      </c>
      <c r="W4" s="24" t="s">
        <v>84</v>
      </c>
      <c r="X4" s="15"/>
      <c r="Y4" s="17" t="s">
        <v>81</v>
      </c>
      <c r="Z4" s="18" t="s">
        <v>82</v>
      </c>
      <c r="AA4" s="19" t="s">
        <v>83</v>
      </c>
      <c r="AB4" s="20" t="s">
        <v>84</v>
      </c>
      <c r="AC4" s="15"/>
      <c r="AD4" s="21" t="s">
        <v>81</v>
      </c>
      <c r="AE4" s="22" t="s">
        <v>82</v>
      </c>
      <c r="AF4" s="23" t="s">
        <v>83</v>
      </c>
      <c r="AG4" s="24" t="s">
        <v>84</v>
      </c>
      <c r="AH4" s="15"/>
      <c r="AI4" s="17" t="s">
        <v>81</v>
      </c>
      <c r="AJ4" s="18" t="s">
        <v>82</v>
      </c>
      <c r="AK4" s="19" t="s">
        <v>83</v>
      </c>
      <c r="AL4" s="20" t="s">
        <v>84</v>
      </c>
      <c r="AM4" s="15"/>
      <c r="AN4" s="21" t="s">
        <v>81</v>
      </c>
      <c r="AO4" s="22" t="s">
        <v>82</v>
      </c>
      <c r="AP4" s="23" t="s">
        <v>83</v>
      </c>
      <c r="AQ4" s="24" t="s">
        <v>84</v>
      </c>
      <c r="AR4" s="15"/>
      <c r="AS4" s="17" t="s">
        <v>81</v>
      </c>
      <c r="AT4" s="18" t="s">
        <v>82</v>
      </c>
      <c r="AU4" s="19" t="s">
        <v>83</v>
      </c>
      <c r="AV4" s="20" t="s">
        <v>84</v>
      </c>
      <c r="AW4" s="15"/>
      <c r="AX4" s="21" t="s">
        <v>81</v>
      </c>
      <c r="AY4" s="22" t="s">
        <v>82</v>
      </c>
      <c r="AZ4" s="23" t="s">
        <v>83</v>
      </c>
      <c r="BA4" s="24" t="s">
        <v>84</v>
      </c>
      <c r="BB4" s="15"/>
      <c r="BC4" s="48" t="s">
        <v>167</v>
      </c>
      <c r="BD4" s="49" t="s">
        <v>341</v>
      </c>
      <c r="BE4" s="49" t="s">
        <v>340</v>
      </c>
    </row>
    <row r="5" spans="1:57" x14ac:dyDescent="0.25">
      <c r="A5" s="44" t="s">
        <v>228</v>
      </c>
      <c r="B5" s="45">
        <v>1</v>
      </c>
      <c r="C5" s="44" t="s">
        <v>49</v>
      </c>
      <c r="D5" t="s">
        <v>52</v>
      </c>
      <c r="E5" s="10">
        <v>0</v>
      </c>
      <c r="F5" s="11">
        <v>0</v>
      </c>
      <c r="G5" s="12">
        <v>0</v>
      </c>
      <c r="H5" s="13">
        <v>1</v>
      </c>
      <c r="J5" s="6"/>
      <c r="K5" s="7"/>
      <c r="L5" s="8">
        <v>1</v>
      </c>
      <c r="M5" s="9"/>
      <c r="O5" s="10"/>
      <c r="P5" s="11">
        <v>2</v>
      </c>
      <c r="Q5" s="12"/>
      <c r="R5" s="13"/>
      <c r="T5" s="6"/>
      <c r="U5" s="7"/>
      <c r="V5" s="8"/>
      <c r="W5" s="9"/>
      <c r="Y5" s="10"/>
      <c r="Z5" s="11"/>
      <c r="AA5" s="12"/>
      <c r="AB5" s="13"/>
      <c r="AD5" s="6"/>
      <c r="AE5" s="7"/>
      <c r="AF5" s="8"/>
      <c r="AG5" s="9"/>
      <c r="AI5" s="10"/>
      <c r="AJ5" s="11"/>
      <c r="AK5" s="12"/>
      <c r="AL5" s="13"/>
      <c r="AN5" s="6"/>
      <c r="AO5" s="7"/>
      <c r="AP5" s="8"/>
      <c r="AQ5" s="9"/>
      <c r="AS5" s="10"/>
      <c r="AT5" s="11"/>
      <c r="AU5" s="12"/>
      <c r="AV5" s="13"/>
      <c r="AX5" s="6"/>
      <c r="AY5" s="7"/>
      <c r="AZ5" s="8"/>
      <c r="BA5" s="9"/>
      <c r="BC5" s="46">
        <f>SUM(E5:BA5)</f>
        <v>4</v>
      </c>
      <c r="BD5" s="47">
        <f>(SUM(BE5,'Run distances (Term 2)'!BI5,'Run distances (Term 3)'!BI5,'Run distances (Term 4)'!BI5))</f>
        <v>3.3</v>
      </c>
      <c r="BE5" s="47">
        <f>(SUM(E5:BB5)*$D$2)</f>
        <v>1.2</v>
      </c>
    </row>
    <row r="6" spans="1:57" x14ac:dyDescent="0.25">
      <c r="A6" s="44" t="s">
        <v>345</v>
      </c>
      <c r="B6" s="45">
        <v>1</v>
      </c>
      <c r="C6" s="44" t="s">
        <v>49</v>
      </c>
      <c r="D6" t="s">
        <v>355</v>
      </c>
      <c r="E6" s="10"/>
      <c r="F6" s="11"/>
      <c r="G6" s="12"/>
      <c r="H6" s="13"/>
      <c r="J6" s="6"/>
      <c r="K6" s="7"/>
      <c r="L6" s="8"/>
      <c r="M6" s="9"/>
      <c r="O6" s="10"/>
      <c r="P6" s="11"/>
      <c r="Q6" s="12"/>
      <c r="R6" s="13"/>
      <c r="T6" s="6"/>
      <c r="U6" s="7"/>
      <c r="V6" s="8"/>
      <c r="W6" s="9"/>
      <c r="Y6" s="10"/>
      <c r="Z6" s="11"/>
      <c r="AA6" s="12"/>
      <c r="AB6" s="13"/>
      <c r="AD6" s="6"/>
      <c r="AE6" s="7"/>
      <c r="AF6" s="8"/>
      <c r="AG6" s="9"/>
      <c r="AI6" s="10"/>
      <c r="AJ6" s="11"/>
      <c r="AK6" s="12"/>
      <c r="AL6" s="13"/>
      <c r="AN6" s="6"/>
      <c r="AO6" s="7"/>
      <c r="AP6" s="8"/>
      <c r="AQ6" s="9"/>
      <c r="AS6" s="10"/>
      <c r="AT6" s="11"/>
      <c r="AU6" s="12"/>
      <c r="AV6" s="13"/>
      <c r="AX6" s="6"/>
      <c r="AY6" s="7"/>
      <c r="AZ6" s="8"/>
      <c r="BA6" s="9"/>
      <c r="BC6" s="46">
        <f t="shared" ref="BC6:BC9" si="0">SUM(E6:BA6)</f>
        <v>0</v>
      </c>
      <c r="BD6" s="47">
        <f>(SUM(BE6,'Run distances (Term 2)'!BI6,'Run distances (Term 3)'!BI6,'Run distances (Term 4)'!BI6))</f>
        <v>0.89999999999999991</v>
      </c>
      <c r="BE6" s="47">
        <f t="shared" ref="BE6:BE9" si="1">(SUM(E6:BB6)*$D$2)</f>
        <v>0</v>
      </c>
    </row>
    <row r="7" spans="1:57" x14ac:dyDescent="0.25">
      <c r="A7" s="44" t="s">
        <v>354</v>
      </c>
      <c r="B7" s="45">
        <v>1</v>
      </c>
      <c r="C7" s="44" t="s">
        <v>49</v>
      </c>
      <c r="D7" t="s">
        <v>355</v>
      </c>
      <c r="E7" s="10"/>
      <c r="F7" s="11"/>
      <c r="G7" s="12"/>
      <c r="H7" s="13"/>
      <c r="J7" s="6"/>
      <c r="K7" s="7"/>
      <c r="L7" s="8"/>
      <c r="M7" s="9"/>
      <c r="O7" s="10"/>
      <c r="P7" s="11"/>
      <c r="Q7" s="12"/>
      <c r="R7" s="13"/>
      <c r="T7" s="6"/>
      <c r="U7" s="7"/>
      <c r="V7" s="8"/>
      <c r="W7" s="9"/>
      <c r="Y7" s="10"/>
      <c r="Z7" s="11"/>
      <c r="AA7" s="12"/>
      <c r="AB7" s="13"/>
      <c r="AD7" s="6"/>
      <c r="AE7" s="7"/>
      <c r="AF7" s="8"/>
      <c r="AG7" s="9"/>
      <c r="AI7" s="10"/>
      <c r="AJ7" s="11"/>
      <c r="AK7" s="12"/>
      <c r="AL7" s="13"/>
      <c r="AN7" s="6"/>
      <c r="AO7" s="7"/>
      <c r="AP7" s="8"/>
      <c r="AQ7" s="9"/>
      <c r="AS7" s="10"/>
      <c r="AT7" s="11"/>
      <c r="AU7" s="12"/>
      <c r="AV7" s="13"/>
      <c r="AX7" s="6"/>
      <c r="AY7" s="7"/>
      <c r="AZ7" s="8"/>
      <c r="BA7" s="9"/>
      <c r="BC7" s="46">
        <f t="shared" si="0"/>
        <v>0</v>
      </c>
      <c r="BD7" s="47">
        <f>(SUM(BE7,'Run distances (Term 2)'!BI7,'Run distances (Term 3)'!BI7,'Run distances (Term 4)'!BI7))</f>
        <v>0.6</v>
      </c>
      <c r="BE7" s="47">
        <f t="shared" si="1"/>
        <v>0</v>
      </c>
    </row>
    <row r="8" spans="1:57" x14ac:dyDescent="0.25">
      <c r="A8" s="44" t="s">
        <v>356</v>
      </c>
      <c r="B8" s="45">
        <v>1</v>
      </c>
      <c r="C8" s="44" t="s">
        <v>49</v>
      </c>
      <c r="D8" t="s">
        <v>355</v>
      </c>
      <c r="E8" s="10"/>
      <c r="F8" s="11"/>
      <c r="G8" s="12"/>
      <c r="H8" s="13"/>
      <c r="J8" s="6"/>
      <c r="K8" s="7"/>
      <c r="L8" s="8"/>
      <c r="M8" s="9"/>
      <c r="O8" s="10"/>
      <c r="P8" s="11"/>
      <c r="Q8" s="12"/>
      <c r="R8" s="13"/>
      <c r="T8" s="6"/>
      <c r="U8" s="7"/>
      <c r="V8" s="8"/>
      <c r="W8" s="9"/>
      <c r="Y8" s="10"/>
      <c r="Z8" s="11"/>
      <c r="AA8" s="12"/>
      <c r="AB8" s="13"/>
      <c r="AD8" s="6"/>
      <c r="AE8" s="7"/>
      <c r="AF8" s="8"/>
      <c r="AG8" s="9"/>
      <c r="AI8" s="10"/>
      <c r="AJ8" s="11"/>
      <c r="AK8" s="12"/>
      <c r="AL8" s="13"/>
      <c r="AN8" s="6"/>
      <c r="AO8" s="7"/>
      <c r="AP8" s="8"/>
      <c r="AQ8" s="9"/>
      <c r="AS8" s="10"/>
      <c r="AT8" s="11"/>
      <c r="AU8" s="12"/>
      <c r="AV8" s="13"/>
      <c r="AX8" s="6"/>
      <c r="AY8" s="7"/>
      <c r="AZ8" s="8"/>
      <c r="BA8" s="9"/>
      <c r="BC8" s="46">
        <f t="shared" si="0"/>
        <v>0</v>
      </c>
      <c r="BD8" s="47">
        <f>(SUM(BE8,'Run distances (Term 2)'!BI8,'Run distances (Term 3)'!BI8,'Run distances (Term 4)'!BI8))</f>
        <v>0.89999999999999991</v>
      </c>
      <c r="BE8" s="47">
        <f t="shared" si="1"/>
        <v>0</v>
      </c>
    </row>
    <row r="9" spans="1:57" x14ac:dyDescent="0.25">
      <c r="A9" s="44" t="s">
        <v>344</v>
      </c>
      <c r="B9" s="45">
        <v>1</v>
      </c>
      <c r="C9" s="44" t="s">
        <v>49</v>
      </c>
      <c r="D9" t="s">
        <v>355</v>
      </c>
      <c r="E9" s="10"/>
      <c r="F9" s="11"/>
      <c r="G9" s="12"/>
      <c r="H9" s="13"/>
      <c r="J9" s="6"/>
      <c r="K9" s="7"/>
      <c r="L9" s="8"/>
      <c r="M9" s="9"/>
      <c r="O9" s="10"/>
      <c r="P9" s="11"/>
      <c r="Q9" s="12"/>
      <c r="R9" s="13"/>
      <c r="T9" s="6"/>
      <c r="U9" s="7"/>
      <c r="V9" s="8"/>
      <c r="W9" s="9"/>
      <c r="Y9" s="10"/>
      <c r="Z9" s="11"/>
      <c r="AA9" s="12"/>
      <c r="AB9" s="13"/>
      <c r="AD9" s="6"/>
      <c r="AE9" s="7"/>
      <c r="AF9" s="8"/>
      <c r="AG9" s="9"/>
      <c r="AI9" s="10"/>
      <c r="AJ9" s="11"/>
      <c r="AK9" s="12"/>
      <c r="AL9" s="13"/>
      <c r="AN9" s="6"/>
      <c r="AO9" s="7"/>
      <c r="AP9" s="8"/>
      <c r="AQ9" s="9"/>
      <c r="AS9" s="10"/>
      <c r="AT9" s="11"/>
      <c r="AU9" s="12"/>
      <c r="AV9" s="13"/>
      <c r="AX9" s="6"/>
      <c r="AY9" s="7"/>
      <c r="AZ9" s="8"/>
      <c r="BA9" s="9"/>
      <c r="BC9" s="46">
        <f t="shared" si="0"/>
        <v>0</v>
      </c>
      <c r="BD9" s="47">
        <f>(SUM(BE9,'Run distances (Term 2)'!BI9,'Run distances (Term 3)'!BI9,'Run distances (Term 4)'!BI9))</f>
        <v>12.299999999999999</v>
      </c>
      <c r="BE9" s="47">
        <f t="shared" si="1"/>
        <v>0</v>
      </c>
    </row>
    <row r="10" spans="1:57" x14ac:dyDescent="0.25">
      <c r="A10" s="44" t="s">
        <v>229</v>
      </c>
      <c r="B10" s="44">
        <v>2</v>
      </c>
      <c r="C10" s="44" t="s">
        <v>49</v>
      </c>
      <c r="D10" t="s">
        <v>52</v>
      </c>
      <c r="E10" s="10">
        <v>0</v>
      </c>
      <c r="F10" s="11">
        <v>0</v>
      </c>
      <c r="G10" s="12">
        <v>4</v>
      </c>
      <c r="H10" s="13">
        <v>2</v>
      </c>
      <c r="J10" s="6"/>
      <c r="K10" s="7"/>
      <c r="L10" s="8">
        <v>1</v>
      </c>
      <c r="M10" s="9"/>
      <c r="O10" s="10"/>
      <c r="P10" s="11"/>
      <c r="Q10" s="12">
        <v>4</v>
      </c>
      <c r="R10" s="13"/>
      <c r="T10" s="6">
        <v>1</v>
      </c>
      <c r="U10" s="7">
        <v>1</v>
      </c>
      <c r="V10" s="8"/>
      <c r="W10" s="9"/>
      <c r="Y10" s="10"/>
      <c r="Z10" s="11">
        <v>1</v>
      </c>
      <c r="AA10" s="12"/>
      <c r="AB10" s="13"/>
      <c r="AD10" s="6"/>
      <c r="AE10" s="7"/>
      <c r="AF10" s="8"/>
      <c r="AG10" s="9"/>
      <c r="AI10" s="10"/>
      <c r="AJ10" s="11"/>
      <c r="AK10" s="12"/>
      <c r="AL10" s="13"/>
      <c r="AN10" s="6"/>
      <c r="AO10" s="7"/>
      <c r="AP10" s="8">
        <v>3</v>
      </c>
      <c r="AQ10" s="9"/>
      <c r="AS10" s="10"/>
      <c r="AT10" s="11"/>
      <c r="AU10" s="12"/>
      <c r="AV10" s="13"/>
      <c r="AX10" s="6"/>
      <c r="AY10" s="7"/>
      <c r="AZ10" s="8">
        <v>4</v>
      </c>
      <c r="BA10" s="9"/>
      <c r="BC10" s="46">
        <f t="shared" ref="BC10:BC55" si="2">SUM(E10:BA10)</f>
        <v>21</v>
      </c>
      <c r="BD10" s="47">
        <f>(SUM(BE10,'Run distances (Term 2)'!BI10,'Run distances (Term 3)'!BI10,'Run distances (Term 4)'!BI10))</f>
        <v>10.199999999999999</v>
      </c>
      <c r="BE10" s="47">
        <f t="shared" ref="BE10:BE87" si="3">(SUM(E10:BB10)*$D$2)</f>
        <v>6.3</v>
      </c>
    </row>
    <row r="11" spans="1:57" x14ac:dyDescent="0.25">
      <c r="A11" s="44" t="s">
        <v>230</v>
      </c>
      <c r="B11" s="45">
        <v>2</v>
      </c>
      <c r="C11" s="44" t="s">
        <v>49</v>
      </c>
      <c r="D11" t="s">
        <v>52</v>
      </c>
      <c r="E11" s="10">
        <v>1</v>
      </c>
      <c r="F11" s="11">
        <v>0</v>
      </c>
      <c r="G11" s="12">
        <v>2</v>
      </c>
      <c r="H11" s="13">
        <v>1</v>
      </c>
      <c r="J11" s="6"/>
      <c r="K11" s="7"/>
      <c r="L11" s="8"/>
      <c r="M11" s="9"/>
      <c r="O11" s="10"/>
      <c r="P11" s="11">
        <v>3</v>
      </c>
      <c r="Q11" s="12"/>
      <c r="R11" s="13"/>
      <c r="T11" s="6"/>
      <c r="U11" s="7"/>
      <c r="V11" s="8"/>
      <c r="W11" s="9"/>
      <c r="Y11" s="10"/>
      <c r="Z11" s="11"/>
      <c r="AA11" s="12"/>
      <c r="AB11" s="13"/>
      <c r="AD11" s="6"/>
      <c r="AE11" s="7"/>
      <c r="AF11" s="8"/>
      <c r="AG11" s="9"/>
      <c r="AI11" s="10"/>
      <c r="AJ11" s="11"/>
      <c r="AK11" s="12"/>
      <c r="AL11" s="13"/>
      <c r="AN11" s="6"/>
      <c r="AO11" s="7"/>
      <c r="AP11" s="8"/>
      <c r="AQ11" s="9"/>
      <c r="AS11" s="10"/>
      <c r="AT11" s="11"/>
      <c r="AU11" s="12"/>
      <c r="AV11" s="13"/>
      <c r="AX11" s="6"/>
      <c r="AY11" s="7"/>
      <c r="AZ11" s="8"/>
      <c r="BA11" s="9"/>
      <c r="BC11" s="46">
        <f t="shared" si="2"/>
        <v>7</v>
      </c>
      <c r="BD11" s="47">
        <f>(SUM(BE11,'Run distances (Term 2)'!BI11,'Run distances (Term 3)'!BI11,'Run distances (Term 4)'!BI11))</f>
        <v>2.4</v>
      </c>
      <c r="BE11" s="47">
        <f t="shared" si="3"/>
        <v>2.1</v>
      </c>
    </row>
    <row r="12" spans="1:57" x14ac:dyDescent="0.25">
      <c r="A12" s="44" t="s">
        <v>231</v>
      </c>
      <c r="B12" s="45">
        <v>2</v>
      </c>
      <c r="C12" s="44" t="s">
        <v>49</v>
      </c>
      <c r="D12" t="s">
        <v>52</v>
      </c>
      <c r="E12" s="10">
        <v>1</v>
      </c>
      <c r="F12" s="11">
        <v>0</v>
      </c>
      <c r="G12" s="12">
        <v>1</v>
      </c>
      <c r="H12" s="13">
        <v>4</v>
      </c>
      <c r="J12" s="6"/>
      <c r="K12" s="7"/>
      <c r="L12" s="8"/>
      <c r="M12" s="9"/>
      <c r="O12" s="10"/>
      <c r="P12" s="11"/>
      <c r="Q12" s="12"/>
      <c r="R12" s="13"/>
      <c r="T12" s="6"/>
      <c r="U12" s="7"/>
      <c r="V12" s="8"/>
      <c r="W12" s="9"/>
      <c r="Y12" s="10"/>
      <c r="Z12" s="11"/>
      <c r="AA12" s="12"/>
      <c r="AB12" s="13"/>
      <c r="AD12" s="6"/>
      <c r="AE12" s="7"/>
      <c r="AF12" s="8"/>
      <c r="AG12" s="9"/>
      <c r="AI12" s="10"/>
      <c r="AJ12" s="11"/>
      <c r="AK12" s="12"/>
      <c r="AL12" s="13"/>
      <c r="AN12" s="6"/>
      <c r="AO12" s="7"/>
      <c r="AP12" s="8"/>
      <c r="AQ12" s="9"/>
      <c r="AS12" s="10"/>
      <c r="AT12" s="11"/>
      <c r="AU12" s="12"/>
      <c r="AV12" s="13"/>
      <c r="AX12" s="6"/>
      <c r="AY12" s="7"/>
      <c r="AZ12" s="8"/>
      <c r="BA12" s="9"/>
      <c r="BC12" s="46">
        <f t="shared" si="2"/>
        <v>6</v>
      </c>
      <c r="BD12" s="47">
        <f>(SUM(BE12,'Run distances (Term 2)'!BI12,'Run distances (Term 3)'!BI12,'Run distances (Term 4)'!BI12))</f>
        <v>6.8999999999999995</v>
      </c>
      <c r="BE12" s="47">
        <f t="shared" si="3"/>
        <v>1.7999999999999998</v>
      </c>
    </row>
    <row r="13" spans="1:57" x14ac:dyDescent="0.25">
      <c r="A13" s="44" t="s">
        <v>247</v>
      </c>
      <c r="B13" s="45">
        <v>2</v>
      </c>
      <c r="C13" s="44" t="s">
        <v>49</v>
      </c>
      <c r="D13" t="s">
        <v>52</v>
      </c>
      <c r="E13" s="10">
        <v>0</v>
      </c>
      <c r="F13" s="11">
        <v>0</v>
      </c>
      <c r="G13" s="12">
        <v>2</v>
      </c>
      <c r="H13" s="13">
        <v>1</v>
      </c>
      <c r="J13" s="6"/>
      <c r="K13" s="7"/>
      <c r="L13" s="8"/>
      <c r="M13" s="9"/>
      <c r="O13" s="10"/>
      <c r="P13" s="11"/>
      <c r="Q13" s="12"/>
      <c r="R13" s="13"/>
      <c r="T13" s="6"/>
      <c r="U13" s="7"/>
      <c r="V13" s="8"/>
      <c r="W13" s="9"/>
      <c r="Y13" s="10"/>
      <c r="Z13" s="11"/>
      <c r="AA13" s="12"/>
      <c r="AB13" s="13"/>
      <c r="AD13" s="6"/>
      <c r="AE13" s="7"/>
      <c r="AF13" s="8"/>
      <c r="AG13" s="9"/>
      <c r="AI13" s="10"/>
      <c r="AJ13" s="11"/>
      <c r="AK13" s="12"/>
      <c r="AL13" s="13"/>
      <c r="AN13" s="6"/>
      <c r="AO13" s="7"/>
      <c r="AP13" s="8"/>
      <c r="AQ13" s="9"/>
      <c r="AS13" s="10"/>
      <c r="AT13" s="11"/>
      <c r="AU13" s="12"/>
      <c r="AV13" s="13"/>
      <c r="AX13" s="6"/>
      <c r="AY13" s="7"/>
      <c r="AZ13" s="8"/>
      <c r="BA13" s="9"/>
      <c r="BC13" s="46">
        <f t="shared" si="2"/>
        <v>3</v>
      </c>
      <c r="BD13" s="47">
        <f>(SUM(BE13,'Run distances (Term 2)'!BI13,'Run distances (Term 3)'!BI13,'Run distances (Term 4)'!BI13))</f>
        <v>1.5</v>
      </c>
      <c r="BE13" s="47">
        <f t="shared" si="3"/>
        <v>0.89999999999999991</v>
      </c>
    </row>
    <row r="14" spans="1:57" x14ac:dyDescent="0.25">
      <c r="A14" s="44" t="s">
        <v>248</v>
      </c>
      <c r="B14" s="45">
        <v>2</v>
      </c>
      <c r="C14" s="44" t="s">
        <v>49</v>
      </c>
      <c r="D14" t="s">
        <v>52</v>
      </c>
      <c r="E14" s="10">
        <v>1</v>
      </c>
      <c r="F14" s="11">
        <v>0</v>
      </c>
      <c r="G14" s="12">
        <v>5</v>
      </c>
      <c r="H14" s="13">
        <v>0</v>
      </c>
      <c r="J14" s="6"/>
      <c r="K14" s="7"/>
      <c r="L14" s="8">
        <v>2</v>
      </c>
      <c r="M14" s="9"/>
      <c r="O14" s="10"/>
      <c r="P14" s="11"/>
      <c r="Q14" s="12"/>
      <c r="R14" s="13"/>
      <c r="T14" s="6"/>
      <c r="U14" s="7"/>
      <c r="V14" s="8"/>
      <c r="W14" s="9"/>
      <c r="Y14" s="10"/>
      <c r="Z14" s="11"/>
      <c r="AA14" s="12"/>
      <c r="AB14" s="13"/>
      <c r="AD14" s="6"/>
      <c r="AE14" s="7"/>
      <c r="AF14" s="8"/>
      <c r="AG14" s="9"/>
      <c r="AI14" s="10"/>
      <c r="AJ14" s="11"/>
      <c r="AK14" s="12"/>
      <c r="AL14" s="13"/>
      <c r="AN14" s="6"/>
      <c r="AO14" s="7"/>
      <c r="AP14" s="8"/>
      <c r="AQ14" s="9"/>
      <c r="AS14" s="10"/>
      <c r="AT14" s="11"/>
      <c r="AU14" s="12"/>
      <c r="AV14" s="13"/>
      <c r="AX14" s="6"/>
      <c r="AY14" s="7"/>
      <c r="AZ14" s="8"/>
      <c r="BA14" s="9"/>
      <c r="BC14" s="46">
        <f t="shared" si="2"/>
        <v>8</v>
      </c>
      <c r="BD14" s="47">
        <f>(SUM(BE14,'Run distances (Term 2)'!BI14,'Run distances (Term 3)'!BI14,'Run distances (Term 4)'!BI14))</f>
        <v>2.4</v>
      </c>
      <c r="BE14" s="47">
        <f t="shared" si="3"/>
        <v>2.4</v>
      </c>
    </row>
    <row r="15" spans="1:57" x14ac:dyDescent="0.25">
      <c r="A15" s="44" t="s">
        <v>249</v>
      </c>
      <c r="B15" s="45">
        <v>2</v>
      </c>
      <c r="C15" s="44" t="s">
        <v>49</v>
      </c>
      <c r="D15" t="s">
        <v>52</v>
      </c>
      <c r="E15" s="10"/>
      <c r="F15" s="11"/>
      <c r="G15" s="12"/>
      <c r="H15" s="13"/>
      <c r="J15" s="6"/>
      <c r="K15" s="7"/>
      <c r="L15" s="8"/>
      <c r="M15" s="9"/>
      <c r="O15" s="10"/>
      <c r="P15" s="11"/>
      <c r="Q15" s="12"/>
      <c r="R15" s="13"/>
      <c r="T15" s="6"/>
      <c r="U15" s="7"/>
      <c r="V15" s="8"/>
      <c r="W15" s="9"/>
      <c r="Y15" s="10"/>
      <c r="Z15" s="11"/>
      <c r="AA15" s="12"/>
      <c r="AB15" s="13"/>
      <c r="AD15" s="6"/>
      <c r="AE15" s="7"/>
      <c r="AF15" s="8"/>
      <c r="AG15" s="9"/>
      <c r="AI15" s="10"/>
      <c r="AJ15" s="11"/>
      <c r="AK15" s="12"/>
      <c r="AL15" s="13"/>
      <c r="AN15" s="6"/>
      <c r="AO15" s="7"/>
      <c r="AP15" s="8"/>
      <c r="AQ15" s="9"/>
      <c r="AS15" s="10"/>
      <c r="AT15" s="11"/>
      <c r="AU15" s="12"/>
      <c r="AV15" s="13"/>
      <c r="AX15" s="6"/>
      <c r="AY15" s="7"/>
      <c r="AZ15" s="8"/>
      <c r="BA15" s="9"/>
      <c r="BC15" s="46">
        <f t="shared" si="2"/>
        <v>0</v>
      </c>
      <c r="BD15" s="47">
        <f>(SUM(BE15,'Run distances (Term 2)'!BI15,'Run distances (Term 3)'!BI15,'Run distances (Term 4)'!BI15))</f>
        <v>0</v>
      </c>
      <c r="BE15" s="47">
        <f t="shared" si="3"/>
        <v>0</v>
      </c>
    </row>
    <row r="16" spans="1:57" x14ac:dyDescent="0.25">
      <c r="A16" s="44" t="s">
        <v>250</v>
      </c>
      <c r="B16" s="45">
        <v>10</v>
      </c>
      <c r="C16" s="44" t="s">
        <v>49</v>
      </c>
      <c r="D16" t="s">
        <v>59</v>
      </c>
      <c r="E16" s="10"/>
      <c r="F16" s="11"/>
      <c r="G16" s="12"/>
      <c r="H16" s="13"/>
      <c r="J16" s="6"/>
      <c r="K16" s="7"/>
      <c r="L16" s="8"/>
      <c r="M16" s="9">
        <v>1</v>
      </c>
      <c r="O16" s="10"/>
      <c r="P16" s="11"/>
      <c r="Q16" s="12"/>
      <c r="R16" s="13"/>
      <c r="T16" s="6"/>
      <c r="U16" s="7"/>
      <c r="V16" s="8"/>
      <c r="W16" s="9"/>
      <c r="Y16" s="10"/>
      <c r="Z16" s="11"/>
      <c r="AA16" s="12"/>
      <c r="AB16" s="13"/>
      <c r="AD16" s="6"/>
      <c r="AE16" s="7"/>
      <c r="AF16" s="8"/>
      <c r="AG16" s="9"/>
      <c r="AI16" s="10"/>
      <c r="AJ16" s="11"/>
      <c r="AK16" s="12"/>
      <c r="AL16" s="13"/>
      <c r="AN16" s="6"/>
      <c r="AO16" s="7"/>
      <c r="AP16" s="8"/>
      <c r="AQ16" s="9"/>
      <c r="AS16" s="10"/>
      <c r="AT16" s="11"/>
      <c r="AU16" s="12"/>
      <c r="AV16" s="13"/>
      <c r="AX16" s="6"/>
      <c r="AY16" s="7"/>
      <c r="AZ16" s="8"/>
      <c r="BA16" s="9"/>
      <c r="BC16" s="46">
        <f t="shared" ref="BC16" si="4">SUM(E16:BA16)</f>
        <v>1</v>
      </c>
      <c r="BD16" s="47">
        <f>(SUM(BE16,'Run distances (Term 2)'!BI16,'Run distances (Term 3)'!BI16,'Run distances (Term 4)'!BI16))</f>
        <v>3.3</v>
      </c>
      <c r="BE16" s="47">
        <f t="shared" si="3"/>
        <v>0.3</v>
      </c>
    </row>
    <row r="17" spans="1:57" x14ac:dyDescent="0.25">
      <c r="A17" s="44" t="s">
        <v>357</v>
      </c>
      <c r="B17" s="45">
        <v>10</v>
      </c>
      <c r="C17" s="44" t="s">
        <v>49</v>
      </c>
      <c r="D17" t="s">
        <v>59</v>
      </c>
      <c r="E17" s="10"/>
      <c r="F17" s="11"/>
      <c r="G17" s="12"/>
      <c r="H17" s="13"/>
      <c r="J17" s="6"/>
      <c r="K17" s="7"/>
      <c r="L17" s="8"/>
      <c r="M17" s="9"/>
      <c r="O17" s="10"/>
      <c r="P17" s="11"/>
      <c r="Q17" s="12"/>
      <c r="R17" s="13"/>
      <c r="T17" s="6"/>
      <c r="U17" s="7"/>
      <c r="V17" s="8"/>
      <c r="W17" s="9"/>
      <c r="Y17" s="10"/>
      <c r="Z17" s="11">
        <v>1</v>
      </c>
      <c r="AA17" s="12">
        <v>1</v>
      </c>
      <c r="AB17" s="13"/>
      <c r="AD17" s="6"/>
      <c r="AE17" s="7"/>
      <c r="AF17" s="8"/>
      <c r="AG17" s="9"/>
      <c r="AI17" s="10"/>
      <c r="AJ17" s="11"/>
      <c r="AK17" s="12"/>
      <c r="AL17" s="13"/>
      <c r="AN17" s="6"/>
      <c r="AO17" s="7"/>
      <c r="AP17" s="8"/>
      <c r="AQ17" s="9"/>
      <c r="AS17" s="10"/>
      <c r="AT17" s="11"/>
      <c r="AU17" s="12"/>
      <c r="AV17" s="13"/>
      <c r="AX17" s="6"/>
      <c r="AY17" s="7"/>
      <c r="AZ17" s="8"/>
      <c r="BA17" s="9"/>
      <c r="BC17" s="46">
        <f t="shared" si="2"/>
        <v>2</v>
      </c>
      <c r="BD17" s="47">
        <f>(SUM(BE17,'Run distances (Term 2)'!BI17,'Run distances (Term 3)'!BI17,'Run distances (Term 4)'!BI17))</f>
        <v>0.6</v>
      </c>
      <c r="BE17" s="47">
        <f t="shared" si="3"/>
        <v>0.6</v>
      </c>
    </row>
    <row r="18" spans="1:57" x14ac:dyDescent="0.25">
      <c r="A18" s="44" t="s">
        <v>252</v>
      </c>
      <c r="B18" s="45">
        <v>10</v>
      </c>
      <c r="C18" s="44" t="s">
        <v>49</v>
      </c>
      <c r="D18" t="s">
        <v>59</v>
      </c>
      <c r="E18" s="10"/>
      <c r="F18" s="11"/>
      <c r="G18" s="12"/>
      <c r="H18" s="13"/>
      <c r="J18" s="6">
        <v>0</v>
      </c>
      <c r="K18" s="7">
        <v>2</v>
      </c>
      <c r="L18" s="8">
        <v>3</v>
      </c>
      <c r="M18" s="9">
        <v>3</v>
      </c>
      <c r="O18" s="10"/>
      <c r="P18" s="11"/>
      <c r="Q18" s="12">
        <v>3</v>
      </c>
      <c r="R18" s="13">
        <v>1</v>
      </c>
      <c r="T18" s="6"/>
      <c r="U18" s="7">
        <v>4</v>
      </c>
      <c r="V18" s="8"/>
      <c r="W18" s="9">
        <v>1</v>
      </c>
      <c r="Y18" s="10"/>
      <c r="Z18" s="11"/>
      <c r="AA18" s="12"/>
      <c r="AB18" s="13"/>
      <c r="AD18" s="6"/>
      <c r="AE18" s="7"/>
      <c r="AF18" s="8"/>
      <c r="AG18" s="9"/>
      <c r="AI18" s="10"/>
      <c r="AJ18" s="11"/>
      <c r="AK18" s="12"/>
      <c r="AL18" s="13"/>
      <c r="AN18" s="6"/>
      <c r="AO18" s="7"/>
      <c r="AP18" s="8"/>
      <c r="AQ18" s="9"/>
      <c r="AS18" s="10"/>
      <c r="AT18" s="11"/>
      <c r="AU18" s="12"/>
      <c r="AV18" s="13"/>
      <c r="AX18" s="6"/>
      <c r="AY18" s="7"/>
      <c r="AZ18" s="8"/>
      <c r="BA18" s="9"/>
      <c r="BC18" s="46">
        <f t="shared" si="2"/>
        <v>17</v>
      </c>
      <c r="BD18" s="47">
        <f>(SUM(BE18,'Run distances (Term 2)'!BI18,'Run distances (Term 3)'!BI18,'Run distances (Term 4)'!BI18))</f>
        <v>7.1999999999999993</v>
      </c>
      <c r="BE18" s="47">
        <f t="shared" si="3"/>
        <v>5.0999999999999996</v>
      </c>
    </row>
    <row r="19" spans="1:57" x14ac:dyDescent="0.25">
      <c r="A19" s="44" t="s">
        <v>253</v>
      </c>
      <c r="B19" s="45">
        <v>11</v>
      </c>
      <c r="C19" s="44" t="s">
        <v>49</v>
      </c>
      <c r="D19" t="s">
        <v>63</v>
      </c>
      <c r="E19" s="10">
        <v>0</v>
      </c>
      <c r="F19" s="11">
        <v>0</v>
      </c>
      <c r="G19" s="12">
        <v>2</v>
      </c>
      <c r="H19" s="13">
        <v>0</v>
      </c>
      <c r="J19" s="6"/>
      <c r="K19" s="7"/>
      <c r="L19" s="8"/>
      <c r="M19" s="9">
        <v>2</v>
      </c>
      <c r="O19" s="10"/>
      <c r="P19" s="11"/>
      <c r="Q19" s="12"/>
      <c r="R19" s="13"/>
      <c r="T19" s="6"/>
      <c r="U19" s="7"/>
      <c r="V19" s="8"/>
      <c r="W19" s="9"/>
      <c r="Y19" s="10"/>
      <c r="Z19" s="11"/>
      <c r="AA19" s="12"/>
      <c r="AB19" s="13"/>
      <c r="AD19" s="6"/>
      <c r="AE19" s="7"/>
      <c r="AF19" s="8"/>
      <c r="AG19" s="9"/>
      <c r="AI19" s="10"/>
      <c r="AJ19" s="11"/>
      <c r="AK19" s="12"/>
      <c r="AL19" s="13"/>
      <c r="AN19" s="6"/>
      <c r="AO19" s="7"/>
      <c r="AP19" s="8"/>
      <c r="AQ19" s="9"/>
      <c r="AS19" s="10"/>
      <c r="AT19" s="11"/>
      <c r="AU19" s="12"/>
      <c r="AV19" s="13"/>
      <c r="AX19" s="6"/>
      <c r="AY19" s="7"/>
      <c r="AZ19" s="8"/>
      <c r="BA19" s="9"/>
      <c r="BC19" s="46">
        <f t="shared" si="2"/>
        <v>4</v>
      </c>
      <c r="BD19" s="47">
        <f>(SUM(BE19,'Run distances (Term 2)'!BI19,'Run distances (Term 3)'!BI19,'Run distances (Term 4)'!BI19))</f>
        <v>1.2</v>
      </c>
      <c r="BE19" s="47">
        <f t="shared" si="3"/>
        <v>1.2</v>
      </c>
    </row>
    <row r="20" spans="1:57" x14ac:dyDescent="0.25">
      <c r="A20" s="44" t="s">
        <v>254</v>
      </c>
      <c r="B20" s="45">
        <v>11</v>
      </c>
      <c r="C20" s="44" t="s">
        <v>49</v>
      </c>
      <c r="D20" t="s">
        <v>63</v>
      </c>
      <c r="E20" s="10"/>
      <c r="F20" s="11"/>
      <c r="G20" s="12"/>
      <c r="H20" s="13"/>
      <c r="J20" s="6"/>
      <c r="K20" s="7"/>
      <c r="L20" s="8"/>
      <c r="M20" s="9"/>
      <c r="O20" s="10"/>
      <c r="P20" s="11"/>
      <c r="Q20" s="12"/>
      <c r="R20" s="13"/>
      <c r="T20" s="6"/>
      <c r="U20" s="7"/>
      <c r="V20" s="8"/>
      <c r="W20" s="9"/>
      <c r="Y20" s="10"/>
      <c r="Z20" s="11"/>
      <c r="AA20" s="12"/>
      <c r="AB20" s="13"/>
      <c r="AD20" s="6"/>
      <c r="AE20" s="7"/>
      <c r="AF20" s="8"/>
      <c r="AG20" s="9"/>
      <c r="AI20" s="10"/>
      <c r="AJ20" s="11"/>
      <c r="AK20" s="12"/>
      <c r="AL20" s="13"/>
      <c r="AN20" s="6"/>
      <c r="AO20" s="7"/>
      <c r="AP20" s="8"/>
      <c r="AQ20" s="9"/>
      <c r="AS20" s="10"/>
      <c r="AT20" s="11"/>
      <c r="AU20" s="12"/>
      <c r="AV20" s="13"/>
      <c r="AX20" s="6"/>
      <c r="AY20" s="7"/>
      <c r="AZ20" s="8"/>
      <c r="BA20" s="9"/>
      <c r="BC20" s="46">
        <f t="shared" si="2"/>
        <v>0</v>
      </c>
      <c r="BD20" s="47">
        <f>(SUM(BE20,'Run distances (Term 2)'!BI20,'Run distances (Term 3)'!BI20,'Run distances (Term 4)'!BI20))</f>
        <v>0</v>
      </c>
      <c r="BE20" s="47">
        <f t="shared" si="3"/>
        <v>0</v>
      </c>
    </row>
    <row r="21" spans="1:57" x14ac:dyDescent="0.25">
      <c r="A21" s="44" t="s">
        <v>255</v>
      </c>
      <c r="B21" s="45">
        <v>11</v>
      </c>
      <c r="C21" s="44" t="s">
        <v>49</v>
      </c>
      <c r="D21" t="s">
        <v>63</v>
      </c>
      <c r="E21" s="10">
        <v>0</v>
      </c>
      <c r="F21" s="11">
        <v>0</v>
      </c>
      <c r="G21" s="12">
        <v>2</v>
      </c>
      <c r="H21" s="13">
        <v>0</v>
      </c>
      <c r="J21" s="6"/>
      <c r="K21" s="7"/>
      <c r="L21" s="8"/>
      <c r="M21" s="9"/>
      <c r="O21" s="10"/>
      <c r="P21" s="11"/>
      <c r="Q21" s="12"/>
      <c r="R21" s="13"/>
      <c r="T21" s="6"/>
      <c r="U21" s="7"/>
      <c r="V21" s="8"/>
      <c r="W21" s="9"/>
      <c r="Y21" s="10"/>
      <c r="Z21" s="11"/>
      <c r="AA21" s="12"/>
      <c r="AB21" s="13"/>
      <c r="AD21" s="6"/>
      <c r="AE21" s="7"/>
      <c r="AF21" s="8"/>
      <c r="AG21" s="9"/>
      <c r="AI21" s="10"/>
      <c r="AJ21" s="11"/>
      <c r="AK21" s="12"/>
      <c r="AL21" s="13"/>
      <c r="AN21" s="6"/>
      <c r="AO21" s="7"/>
      <c r="AP21" s="8"/>
      <c r="AQ21" s="9"/>
      <c r="AS21" s="10"/>
      <c r="AT21" s="11"/>
      <c r="AU21" s="12"/>
      <c r="AV21" s="13"/>
      <c r="AX21" s="6"/>
      <c r="AY21" s="7"/>
      <c r="AZ21" s="8"/>
      <c r="BA21" s="9"/>
      <c r="BC21" s="46">
        <f t="shared" si="2"/>
        <v>2</v>
      </c>
      <c r="BD21" s="47">
        <f>(SUM(BE21,'Run distances (Term 2)'!BI21,'Run distances (Term 3)'!BI21,'Run distances (Term 4)'!BI21))</f>
        <v>0.6</v>
      </c>
      <c r="BE21" s="47">
        <f t="shared" si="3"/>
        <v>0.6</v>
      </c>
    </row>
    <row r="22" spans="1:57" x14ac:dyDescent="0.25">
      <c r="A22" s="44" t="s">
        <v>409</v>
      </c>
      <c r="B22" s="45">
        <v>12</v>
      </c>
      <c r="C22" s="44" t="s">
        <v>49</v>
      </c>
      <c r="D22" t="s">
        <v>60</v>
      </c>
      <c r="E22" s="10"/>
      <c r="F22" s="11"/>
      <c r="G22" s="12"/>
      <c r="H22" s="13"/>
      <c r="J22" s="6"/>
      <c r="K22" s="7"/>
      <c r="L22" s="8"/>
      <c r="M22" s="9"/>
      <c r="O22" s="10"/>
      <c r="P22" s="11"/>
      <c r="Q22" s="12"/>
      <c r="R22" s="13"/>
      <c r="T22" s="6"/>
      <c r="U22" s="7"/>
      <c r="V22" s="8"/>
      <c r="W22" s="9"/>
      <c r="Y22" s="10"/>
      <c r="Z22" s="11"/>
      <c r="AA22" s="12"/>
      <c r="AB22" s="13"/>
      <c r="AD22" s="6"/>
      <c r="AE22" s="7"/>
      <c r="AF22" s="8"/>
      <c r="AG22" s="9"/>
      <c r="AI22" s="10"/>
      <c r="AJ22" s="11"/>
      <c r="AK22" s="12"/>
      <c r="AL22" s="13"/>
      <c r="AN22" s="6"/>
      <c r="AO22" s="7"/>
      <c r="AP22" s="8"/>
      <c r="AQ22" s="9"/>
      <c r="AS22" s="10"/>
      <c r="AT22" s="11"/>
      <c r="AU22" s="12"/>
      <c r="AV22" s="13"/>
      <c r="AX22" s="6"/>
      <c r="AY22" s="7"/>
      <c r="AZ22" s="8"/>
      <c r="BA22" s="9"/>
      <c r="BC22" s="46">
        <f t="shared" si="2"/>
        <v>0</v>
      </c>
      <c r="BD22" s="47">
        <f>(SUM(BE22,'Run distances (Term 2)'!BI22,'Run distances (Term 3)'!BI22,'Run distances (Term 4)'!BI22))</f>
        <v>0</v>
      </c>
      <c r="BE22" s="47">
        <f t="shared" si="3"/>
        <v>0</v>
      </c>
    </row>
    <row r="23" spans="1:57" x14ac:dyDescent="0.25">
      <c r="A23" s="44" t="s">
        <v>257</v>
      </c>
      <c r="B23" s="45">
        <v>3</v>
      </c>
      <c r="C23" s="44" t="s">
        <v>49</v>
      </c>
      <c r="D23" t="s">
        <v>56</v>
      </c>
      <c r="E23" s="10"/>
      <c r="F23" s="11"/>
      <c r="G23" s="12"/>
      <c r="H23" s="13"/>
      <c r="J23" s="6"/>
      <c r="K23" s="7"/>
      <c r="L23" s="8"/>
      <c r="M23" s="9"/>
      <c r="O23" s="10"/>
      <c r="P23" s="11"/>
      <c r="Q23" s="12"/>
      <c r="R23" s="13"/>
      <c r="T23" s="6"/>
      <c r="U23" s="7"/>
      <c r="V23" s="8"/>
      <c r="W23" s="9"/>
      <c r="Y23" s="10"/>
      <c r="Z23" s="11"/>
      <c r="AA23" s="12"/>
      <c r="AB23" s="13"/>
      <c r="AD23" s="6"/>
      <c r="AE23" s="7"/>
      <c r="AF23" s="8"/>
      <c r="AG23" s="9"/>
      <c r="AI23" s="10"/>
      <c r="AJ23" s="11"/>
      <c r="AK23" s="12"/>
      <c r="AL23" s="13"/>
      <c r="AN23" s="6"/>
      <c r="AO23" s="7"/>
      <c r="AP23" s="8"/>
      <c r="AQ23" s="9"/>
      <c r="AS23" s="10"/>
      <c r="AT23" s="11"/>
      <c r="AU23" s="12"/>
      <c r="AV23" s="13"/>
      <c r="AX23" s="6"/>
      <c r="AY23" s="7"/>
      <c r="AZ23" s="8"/>
      <c r="BA23" s="9"/>
      <c r="BC23" s="46">
        <f t="shared" si="2"/>
        <v>0</v>
      </c>
      <c r="BD23" s="47">
        <f>(SUM(BE23,'Run distances (Term 2)'!BI23,'Run distances (Term 3)'!BI23,'Run distances (Term 4)'!BI23))</f>
        <v>9</v>
      </c>
      <c r="BE23" s="47">
        <f t="shared" si="3"/>
        <v>0</v>
      </c>
    </row>
    <row r="24" spans="1:57" x14ac:dyDescent="0.25">
      <c r="A24" s="44" t="s">
        <v>258</v>
      </c>
      <c r="B24" s="45">
        <v>3</v>
      </c>
      <c r="C24" s="44" t="s">
        <v>49</v>
      </c>
      <c r="D24" t="s">
        <v>56</v>
      </c>
      <c r="E24" s="10"/>
      <c r="F24" s="11"/>
      <c r="G24" s="12"/>
      <c r="H24" s="13"/>
      <c r="J24" s="6"/>
      <c r="K24" s="7"/>
      <c r="L24" s="8"/>
      <c r="M24" s="9">
        <v>2</v>
      </c>
      <c r="O24" s="10"/>
      <c r="P24" s="11"/>
      <c r="Q24" s="12"/>
      <c r="R24" s="13"/>
      <c r="T24" s="6"/>
      <c r="U24" s="7"/>
      <c r="V24" s="8"/>
      <c r="W24" s="9"/>
      <c r="Y24" s="10"/>
      <c r="Z24" s="11"/>
      <c r="AA24" s="12"/>
      <c r="AB24" s="13"/>
      <c r="AD24" s="6"/>
      <c r="AE24" s="7"/>
      <c r="AF24" s="8"/>
      <c r="AG24" s="9"/>
      <c r="AI24" s="10"/>
      <c r="AJ24" s="11"/>
      <c r="AK24" s="12"/>
      <c r="AL24" s="13"/>
      <c r="AN24" s="6"/>
      <c r="AO24" s="7"/>
      <c r="AP24" s="8"/>
      <c r="AQ24" s="9"/>
      <c r="AS24" s="10"/>
      <c r="AT24" s="11"/>
      <c r="AU24" s="12"/>
      <c r="AV24" s="13"/>
      <c r="AX24" s="6"/>
      <c r="AY24" s="7"/>
      <c r="AZ24" s="8"/>
      <c r="BA24" s="9"/>
      <c r="BC24" s="46">
        <f t="shared" si="2"/>
        <v>2</v>
      </c>
      <c r="BD24" s="47">
        <f>(SUM(BE24,'Run distances (Term 2)'!BI24,'Run distances (Term 3)'!BI24,'Run distances (Term 4)'!BI24))</f>
        <v>6.8999999999999995</v>
      </c>
      <c r="BE24" s="47">
        <f t="shared" si="3"/>
        <v>0.6</v>
      </c>
    </row>
    <row r="25" spans="1:57" x14ac:dyDescent="0.25">
      <c r="A25" s="44" t="s">
        <v>259</v>
      </c>
      <c r="B25" s="45">
        <v>3</v>
      </c>
      <c r="C25" s="44" t="s">
        <v>49</v>
      </c>
      <c r="D25" t="s">
        <v>56</v>
      </c>
      <c r="E25" s="10">
        <v>0</v>
      </c>
      <c r="F25" s="11">
        <v>0</v>
      </c>
      <c r="G25" s="12">
        <v>3</v>
      </c>
      <c r="H25" s="13">
        <v>2</v>
      </c>
      <c r="J25" s="6"/>
      <c r="K25" s="7"/>
      <c r="L25" s="8">
        <v>1</v>
      </c>
      <c r="M25" s="9">
        <v>2</v>
      </c>
      <c r="O25" s="10">
        <v>1</v>
      </c>
      <c r="P25" s="11">
        <v>2</v>
      </c>
      <c r="Q25" s="12">
        <v>1</v>
      </c>
      <c r="R25" s="13"/>
      <c r="T25" s="6">
        <v>2</v>
      </c>
      <c r="U25" s="7"/>
      <c r="V25" s="8"/>
      <c r="W25" s="9"/>
      <c r="Y25" s="10"/>
      <c r="Z25" s="11">
        <v>1</v>
      </c>
      <c r="AA25" s="12"/>
      <c r="AB25" s="13"/>
      <c r="AD25" s="6"/>
      <c r="AE25" s="7"/>
      <c r="AF25" s="8"/>
      <c r="AG25" s="9"/>
      <c r="AI25" s="10"/>
      <c r="AJ25" s="11">
        <v>2</v>
      </c>
      <c r="AK25" s="12">
        <v>3</v>
      </c>
      <c r="AL25" s="13">
        <v>2</v>
      </c>
      <c r="AN25" s="6"/>
      <c r="AO25" s="7"/>
      <c r="AP25" s="8">
        <v>2</v>
      </c>
      <c r="AQ25" s="9"/>
      <c r="AS25" s="10"/>
      <c r="AT25" s="11"/>
      <c r="AU25" s="12"/>
      <c r="AV25" s="13"/>
      <c r="AX25" s="6"/>
      <c r="AY25" s="7"/>
      <c r="AZ25" s="8"/>
      <c r="BA25" s="9"/>
      <c r="BC25" s="46">
        <f t="shared" si="2"/>
        <v>24</v>
      </c>
      <c r="BD25" s="47">
        <f>(SUM(BE25,'Run distances (Term 2)'!BI25,'Run distances (Term 3)'!BI25,'Run distances (Term 4)'!BI25))</f>
        <v>29.099999999999998</v>
      </c>
      <c r="BE25" s="47">
        <f t="shared" si="3"/>
        <v>7.1999999999999993</v>
      </c>
    </row>
    <row r="26" spans="1:57" x14ac:dyDescent="0.25">
      <c r="A26" s="44" t="s">
        <v>260</v>
      </c>
      <c r="B26" s="45">
        <v>3</v>
      </c>
      <c r="C26" s="44" t="s">
        <v>49</v>
      </c>
      <c r="D26" t="s">
        <v>56</v>
      </c>
      <c r="E26" s="10"/>
      <c r="F26" s="11"/>
      <c r="G26" s="12"/>
      <c r="H26" s="13"/>
      <c r="J26" s="6"/>
      <c r="K26" s="7"/>
      <c r="L26" s="8"/>
      <c r="M26" s="9"/>
      <c r="O26" s="10"/>
      <c r="P26" s="11"/>
      <c r="Q26" s="12"/>
      <c r="R26" s="13"/>
      <c r="T26" s="6"/>
      <c r="U26" s="7"/>
      <c r="V26" s="8"/>
      <c r="W26" s="9"/>
      <c r="Y26" s="10"/>
      <c r="Z26" s="11"/>
      <c r="AA26" s="12"/>
      <c r="AB26" s="13"/>
      <c r="AD26" s="6"/>
      <c r="AE26" s="7"/>
      <c r="AF26" s="8"/>
      <c r="AG26" s="9"/>
      <c r="AI26" s="10"/>
      <c r="AJ26" s="11"/>
      <c r="AK26" s="12"/>
      <c r="AL26" s="13"/>
      <c r="AN26" s="6"/>
      <c r="AO26" s="7"/>
      <c r="AP26" s="8"/>
      <c r="AQ26" s="9"/>
      <c r="AS26" s="10"/>
      <c r="AT26" s="11"/>
      <c r="AU26" s="12"/>
      <c r="AV26" s="13"/>
      <c r="AX26" s="6"/>
      <c r="AY26" s="7"/>
      <c r="AZ26" s="8"/>
      <c r="BA26" s="9"/>
      <c r="BC26" s="46">
        <f t="shared" si="2"/>
        <v>0</v>
      </c>
      <c r="BD26" s="47">
        <f>(SUM(BE26,'Run distances (Term 2)'!BI26,'Run distances (Term 3)'!BI26,'Run distances (Term 4)'!BI26))</f>
        <v>5.7</v>
      </c>
      <c r="BE26" s="47">
        <f t="shared" si="3"/>
        <v>0</v>
      </c>
    </row>
    <row r="27" spans="1:57" x14ac:dyDescent="0.25">
      <c r="A27" s="44" t="s">
        <v>261</v>
      </c>
      <c r="B27" s="45">
        <v>3</v>
      </c>
      <c r="C27" s="44" t="s">
        <v>49</v>
      </c>
      <c r="D27" t="s">
        <v>56</v>
      </c>
      <c r="E27" s="10">
        <v>1</v>
      </c>
      <c r="F27" s="11">
        <v>0</v>
      </c>
      <c r="G27" s="12">
        <v>4</v>
      </c>
      <c r="H27" s="13">
        <v>4</v>
      </c>
      <c r="J27" s="6"/>
      <c r="K27" s="7"/>
      <c r="L27" s="8">
        <v>1</v>
      </c>
      <c r="M27" s="9"/>
      <c r="O27" s="10"/>
      <c r="P27" s="11"/>
      <c r="Q27" s="12"/>
      <c r="R27" s="13"/>
      <c r="T27" s="6"/>
      <c r="U27" s="7"/>
      <c r="V27" s="8"/>
      <c r="W27" s="9"/>
      <c r="Y27" s="10"/>
      <c r="Z27" s="11"/>
      <c r="AA27" s="12"/>
      <c r="AB27" s="13"/>
      <c r="AD27" s="6"/>
      <c r="AE27" s="7"/>
      <c r="AF27" s="8"/>
      <c r="AG27" s="9"/>
      <c r="AI27" s="10"/>
      <c r="AJ27" s="11"/>
      <c r="AK27" s="12"/>
      <c r="AL27" s="13"/>
      <c r="AN27" s="6"/>
      <c r="AO27" s="7"/>
      <c r="AP27" s="8"/>
      <c r="AQ27" s="9"/>
      <c r="AS27" s="10"/>
      <c r="AT27" s="11"/>
      <c r="AU27" s="12"/>
      <c r="AV27" s="13"/>
      <c r="AX27" s="6"/>
      <c r="AY27" s="7"/>
      <c r="AZ27" s="8"/>
      <c r="BA27" s="9"/>
      <c r="BC27" s="46">
        <f t="shared" si="2"/>
        <v>10</v>
      </c>
      <c r="BD27" s="47">
        <f>(SUM(BE27,'Run distances (Term 2)'!BI27,'Run distances (Term 3)'!BI27,'Run distances (Term 4)'!BI27))</f>
        <v>26.4</v>
      </c>
      <c r="BE27" s="47">
        <f t="shared" si="3"/>
        <v>3</v>
      </c>
    </row>
    <row r="28" spans="1:57" x14ac:dyDescent="0.25">
      <c r="A28" s="44" t="s">
        <v>342</v>
      </c>
      <c r="B28" s="45">
        <v>3</v>
      </c>
      <c r="C28" s="44" t="s">
        <v>49</v>
      </c>
      <c r="D28" t="s">
        <v>56</v>
      </c>
      <c r="E28" s="10"/>
      <c r="F28" s="11"/>
      <c r="G28" s="12"/>
      <c r="H28" s="13"/>
      <c r="J28" s="6"/>
      <c r="K28" s="7"/>
      <c r="L28" s="8"/>
      <c r="M28" s="9"/>
      <c r="O28" s="10"/>
      <c r="P28" s="11"/>
      <c r="Q28" s="12"/>
      <c r="R28" s="13"/>
      <c r="T28" s="6"/>
      <c r="U28" s="7"/>
      <c r="V28" s="8"/>
      <c r="W28" s="9"/>
      <c r="Y28" s="10"/>
      <c r="Z28" s="11"/>
      <c r="AA28" s="12"/>
      <c r="AB28" s="13"/>
      <c r="AD28" s="6"/>
      <c r="AE28" s="7"/>
      <c r="AF28" s="8"/>
      <c r="AG28" s="9"/>
      <c r="AI28" s="10"/>
      <c r="AJ28" s="11"/>
      <c r="AK28" s="12"/>
      <c r="AL28" s="13"/>
      <c r="AN28" s="6"/>
      <c r="AO28" s="7"/>
      <c r="AP28" s="8"/>
      <c r="AQ28" s="9"/>
      <c r="AS28" s="10"/>
      <c r="AT28" s="11"/>
      <c r="AU28" s="12"/>
      <c r="AV28" s="13"/>
      <c r="AX28" s="6"/>
      <c r="AY28" s="7"/>
      <c r="AZ28" s="8"/>
      <c r="BA28" s="9"/>
      <c r="BC28" s="46">
        <f t="shared" si="2"/>
        <v>0</v>
      </c>
      <c r="BD28" s="47">
        <f>(SUM(BE28,'Run distances (Term 2)'!BI28,'Run distances (Term 3)'!BI28,'Run distances (Term 4)'!BI28))</f>
        <v>26.1</v>
      </c>
      <c r="BE28" s="47">
        <f t="shared" si="3"/>
        <v>0</v>
      </c>
    </row>
    <row r="29" spans="1:57" x14ac:dyDescent="0.25">
      <c r="A29" s="44" t="s">
        <v>262</v>
      </c>
      <c r="B29" s="45">
        <v>5</v>
      </c>
      <c r="C29" s="44" t="s">
        <v>49</v>
      </c>
      <c r="D29" t="s">
        <v>58</v>
      </c>
      <c r="E29" s="10">
        <v>0</v>
      </c>
      <c r="F29" s="11">
        <v>0</v>
      </c>
      <c r="G29" s="12">
        <v>2</v>
      </c>
      <c r="H29" s="13">
        <v>0</v>
      </c>
      <c r="J29" s="6"/>
      <c r="K29" s="7"/>
      <c r="L29" s="8"/>
      <c r="M29" s="9"/>
      <c r="O29" s="10"/>
      <c r="P29" s="11"/>
      <c r="Q29" s="12"/>
      <c r="R29" s="13"/>
      <c r="T29" s="6"/>
      <c r="U29" s="7"/>
      <c r="V29" s="8"/>
      <c r="W29" s="9"/>
      <c r="Y29" s="10"/>
      <c r="Z29" s="11"/>
      <c r="AA29" s="12"/>
      <c r="AB29" s="13"/>
      <c r="AD29" s="6"/>
      <c r="AE29" s="7"/>
      <c r="AF29" s="8"/>
      <c r="AG29" s="9"/>
      <c r="AI29" s="10"/>
      <c r="AJ29" s="11"/>
      <c r="AK29" s="12"/>
      <c r="AL29" s="13"/>
      <c r="AN29" s="6"/>
      <c r="AO29" s="7"/>
      <c r="AP29" s="8"/>
      <c r="AQ29" s="9"/>
      <c r="AS29" s="10"/>
      <c r="AT29" s="11">
        <v>2</v>
      </c>
      <c r="AU29" s="12"/>
      <c r="AV29" s="13"/>
      <c r="AX29" s="6"/>
      <c r="AY29" s="7"/>
      <c r="AZ29" s="8"/>
      <c r="BA29" s="9"/>
      <c r="BC29" s="46">
        <f t="shared" si="2"/>
        <v>4</v>
      </c>
      <c r="BD29" s="47">
        <f>(SUM(BE29,'Run distances (Term 2)'!BI29,'Run distances (Term 3)'!BI29,'Run distances (Term 4)'!BI29))</f>
        <v>2.0999999999999996</v>
      </c>
      <c r="BE29" s="47">
        <f t="shared" si="3"/>
        <v>1.2</v>
      </c>
    </row>
    <row r="30" spans="1:57" x14ac:dyDescent="0.25">
      <c r="A30" s="44" t="s">
        <v>343</v>
      </c>
      <c r="B30" s="45">
        <v>5</v>
      </c>
      <c r="C30" s="44" t="s">
        <v>49</v>
      </c>
      <c r="D30" t="s">
        <v>58</v>
      </c>
      <c r="E30" s="10"/>
      <c r="F30" s="11"/>
      <c r="G30" s="12"/>
      <c r="H30" s="13"/>
      <c r="J30" s="6"/>
      <c r="K30" s="7"/>
      <c r="L30" s="8"/>
      <c r="M30" s="9"/>
      <c r="O30" s="10"/>
      <c r="P30" s="11"/>
      <c r="Q30" s="12"/>
      <c r="R30" s="13"/>
      <c r="T30" s="6"/>
      <c r="U30" s="7"/>
      <c r="V30" s="8"/>
      <c r="W30" s="9"/>
      <c r="Y30" s="10"/>
      <c r="Z30" s="11"/>
      <c r="AA30" s="12"/>
      <c r="AB30" s="13"/>
      <c r="AD30" s="6"/>
      <c r="AE30" s="7"/>
      <c r="AF30" s="8"/>
      <c r="AG30" s="9"/>
      <c r="AI30" s="10"/>
      <c r="AJ30" s="11"/>
      <c r="AK30" s="12"/>
      <c r="AL30" s="13"/>
      <c r="AN30" s="6"/>
      <c r="AO30" s="7"/>
      <c r="AP30" s="8"/>
      <c r="AQ30" s="9"/>
      <c r="AS30" s="10"/>
      <c r="AT30" s="11"/>
      <c r="AU30" s="12"/>
      <c r="AV30" s="13"/>
      <c r="AX30" s="6"/>
      <c r="AY30" s="7"/>
      <c r="AZ30" s="8"/>
      <c r="BA30" s="9"/>
      <c r="BC30" s="46">
        <f t="shared" si="2"/>
        <v>0</v>
      </c>
      <c r="BD30" s="47">
        <f>(SUM(BE30,'Run distances (Term 2)'!BI30,'Run distances (Term 3)'!BI30,'Run distances (Term 4)'!BI30))</f>
        <v>3.9</v>
      </c>
      <c r="BE30" s="47">
        <f t="shared" si="3"/>
        <v>0</v>
      </c>
    </row>
    <row r="31" spans="1:57" x14ac:dyDescent="0.25">
      <c r="A31" s="44" t="s">
        <v>263</v>
      </c>
      <c r="B31" s="45">
        <v>5</v>
      </c>
      <c r="C31" s="44" t="s">
        <v>49</v>
      </c>
      <c r="D31" t="s">
        <v>58</v>
      </c>
      <c r="E31" s="10">
        <v>0</v>
      </c>
      <c r="F31" s="11">
        <v>0</v>
      </c>
      <c r="G31" s="12">
        <v>4</v>
      </c>
      <c r="H31" s="13">
        <v>0</v>
      </c>
      <c r="J31" s="6"/>
      <c r="K31" s="7"/>
      <c r="L31" s="8"/>
      <c r="M31" s="9"/>
      <c r="O31" s="10"/>
      <c r="P31" s="11"/>
      <c r="Q31" s="12"/>
      <c r="R31" s="13"/>
      <c r="T31" s="6">
        <v>4</v>
      </c>
      <c r="U31" s="7">
        <v>6</v>
      </c>
      <c r="V31" s="8">
        <v>7</v>
      </c>
      <c r="W31" s="9">
        <v>6</v>
      </c>
      <c r="Y31" s="10">
        <v>2</v>
      </c>
      <c r="Z31" s="11"/>
      <c r="AA31" s="12"/>
      <c r="AB31" s="13"/>
      <c r="AD31" s="6"/>
      <c r="AE31" s="7"/>
      <c r="AF31" s="8"/>
      <c r="AG31" s="9"/>
      <c r="AI31" s="10"/>
      <c r="AJ31" s="11"/>
      <c r="AK31" s="12"/>
      <c r="AL31" s="13"/>
      <c r="AN31" s="6"/>
      <c r="AO31" s="7"/>
      <c r="AP31" s="8"/>
      <c r="AQ31" s="9">
        <v>2</v>
      </c>
      <c r="AS31" s="10"/>
      <c r="AT31" s="11"/>
      <c r="AU31" s="12"/>
      <c r="AV31" s="13"/>
      <c r="AX31" s="6"/>
      <c r="AY31" s="7"/>
      <c r="AZ31" s="8"/>
      <c r="BA31" s="9"/>
      <c r="BC31" s="46">
        <f t="shared" si="2"/>
        <v>31</v>
      </c>
      <c r="BD31" s="47">
        <f>(SUM(BE31,'Run distances (Term 2)'!BI31,'Run distances (Term 3)'!BI31,'Run distances (Term 4)'!BI31))</f>
        <v>20.7</v>
      </c>
      <c r="BE31" s="47">
        <f t="shared" si="3"/>
        <v>9.2999999999999989</v>
      </c>
    </row>
    <row r="32" spans="1:57" x14ac:dyDescent="0.25">
      <c r="A32" s="44" t="s">
        <v>264</v>
      </c>
      <c r="B32" s="45">
        <v>5</v>
      </c>
      <c r="C32" s="44" t="s">
        <v>49</v>
      </c>
      <c r="D32" t="s">
        <v>58</v>
      </c>
      <c r="E32" s="10">
        <v>5</v>
      </c>
      <c r="F32" s="11">
        <v>6</v>
      </c>
      <c r="G32" s="12">
        <v>7</v>
      </c>
      <c r="H32" s="13">
        <v>8</v>
      </c>
      <c r="J32" s="6">
        <v>4</v>
      </c>
      <c r="K32" s="7">
        <v>0</v>
      </c>
      <c r="L32" s="8"/>
      <c r="M32" s="9"/>
      <c r="O32" s="10">
        <v>3</v>
      </c>
      <c r="P32" s="11">
        <v>9</v>
      </c>
      <c r="Q32" s="12">
        <v>4</v>
      </c>
      <c r="R32" s="13"/>
      <c r="T32" s="6"/>
      <c r="U32" s="7">
        <v>5</v>
      </c>
      <c r="V32" s="8">
        <v>8</v>
      </c>
      <c r="W32" s="9">
        <v>7</v>
      </c>
      <c r="Y32" s="10"/>
      <c r="Z32" s="11"/>
      <c r="AA32" s="12"/>
      <c r="AB32" s="13"/>
      <c r="AD32" s="6"/>
      <c r="AE32" s="7"/>
      <c r="AF32" s="8"/>
      <c r="AG32" s="9"/>
      <c r="AI32" s="10"/>
      <c r="AJ32" s="11">
        <v>3</v>
      </c>
      <c r="AK32" s="12">
        <v>5</v>
      </c>
      <c r="AL32" s="13">
        <v>6</v>
      </c>
      <c r="AN32" s="6"/>
      <c r="AO32" s="7"/>
      <c r="AP32" s="8">
        <v>2</v>
      </c>
      <c r="AQ32" s="9">
        <v>4</v>
      </c>
      <c r="AS32" s="10"/>
      <c r="AT32" s="11"/>
      <c r="AU32" s="12"/>
      <c r="AV32" s="13"/>
      <c r="AX32" s="6"/>
      <c r="AY32" s="7"/>
      <c r="AZ32" s="8"/>
      <c r="BA32" s="9">
        <v>2</v>
      </c>
      <c r="BC32" s="46">
        <f t="shared" si="2"/>
        <v>88</v>
      </c>
      <c r="BD32" s="47">
        <f>(SUM(BE32,'Run distances (Term 2)'!BI32,'Run distances (Term 3)'!BI32,'Run distances (Term 4)'!BI32))</f>
        <v>44.4</v>
      </c>
      <c r="BE32" s="47">
        <f t="shared" si="3"/>
        <v>26.4</v>
      </c>
    </row>
    <row r="33" spans="1:57" x14ac:dyDescent="0.25">
      <c r="A33" s="44" t="s">
        <v>265</v>
      </c>
      <c r="B33" s="45">
        <v>5</v>
      </c>
      <c r="C33" s="44" t="s">
        <v>49</v>
      </c>
      <c r="D33" t="s">
        <v>58</v>
      </c>
      <c r="E33" s="10">
        <v>0</v>
      </c>
      <c r="F33" s="11">
        <v>0</v>
      </c>
      <c r="G33" s="12">
        <v>1</v>
      </c>
      <c r="H33" s="13">
        <v>2</v>
      </c>
      <c r="J33" s="6"/>
      <c r="K33" s="7"/>
      <c r="L33" s="8"/>
      <c r="M33" s="9"/>
      <c r="O33" s="10"/>
      <c r="P33" s="11"/>
      <c r="Q33" s="12"/>
      <c r="R33" s="13"/>
      <c r="T33" s="6">
        <v>3</v>
      </c>
      <c r="U33" s="7"/>
      <c r="V33" s="8">
        <v>2</v>
      </c>
      <c r="W33" s="9">
        <v>2</v>
      </c>
      <c r="Y33" s="10"/>
      <c r="Z33" s="11">
        <v>3</v>
      </c>
      <c r="AA33" s="12"/>
      <c r="AB33" s="13"/>
      <c r="AD33" s="6"/>
      <c r="AE33" s="7"/>
      <c r="AF33" s="8"/>
      <c r="AG33" s="9"/>
      <c r="AI33" s="10"/>
      <c r="AJ33" s="11">
        <v>3</v>
      </c>
      <c r="AK33" s="12">
        <v>4</v>
      </c>
      <c r="AL33" s="13">
        <v>5</v>
      </c>
      <c r="AN33" s="6"/>
      <c r="AO33" s="7">
        <v>3</v>
      </c>
      <c r="AP33" s="8">
        <v>3</v>
      </c>
      <c r="AQ33" s="9">
        <v>1</v>
      </c>
      <c r="AS33" s="10"/>
      <c r="AT33" s="11"/>
      <c r="AU33" s="12"/>
      <c r="AV33" s="13"/>
      <c r="AX33" s="6"/>
      <c r="AY33" s="7"/>
      <c r="AZ33" s="8"/>
      <c r="BA33" s="9"/>
      <c r="BC33" s="46">
        <f t="shared" si="2"/>
        <v>32</v>
      </c>
      <c r="BD33" s="47">
        <f>(SUM(BE33,'Run distances (Term 2)'!BI33,'Run distances (Term 3)'!BI33,'Run distances (Term 4)'!BI33))</f>
        <v>27.9</v>
      </c>
      <c r="BE33" s="47">
        <f t="shared" si="3"/>
        <v>9.6</v>
      </c>
    </row>
    <row r="34" spans="1:57" x14ac:dyDescent="0.25">
      <c r="A34" s="44" t="s">
        <v>266</v>
      </c>
      <c r="B34" s="45">
        <v>5</v>
      </c>
      <c r="C34" s="44" t="s">
        <v>49</v>
      </c>
      <c r="D34" t="s">
        <v>58</v>
      </c>
      <c r="E34" s="10">
        <v>0</v>
      </c>
      <c r="F34" s="11">
        <v>0</v>
      </c>
      <c r="G34" s="12">
        <v>1</v>
      </c>
      <c r="H34" s="13">
        <v>2</v>
      </c>
      <c r="J34" s="6">
        <v>4</v>
      </c>
      <c r="K34" s="7">
        <v>3</v>
      </c>
      <c r="L34" s="8"/>
      <c r="M34" s="9"/>
      <c r="O34" s="10"/>
      <c r="P34" s="11"/>
      <c r="Q34" s="12"/>
      <c r="R34" s="13"/>
      <c r="T34" s="6"/>
      <c r="U34" s="7"/>
      <c r="V34" s="8"/>
      <c r="W34" s="9"/>
      <c r="Y34" s="10"/>
      <c r="Z34" s="11">
        <v>4</v>
      </c>
      <c r="AA34" s="12"/>
      <c r="AB34" s="13"/>
      <c r="AD34" s="6"/>
      <c r="AE34" s="7"/>
      <c r="AF34" s="8"/>
      <c r="AG34" s="9"/>
      <c r="AI34" s="10"/>
      <c r="AJ34" s="11"/>
      <c r="AK34" s="12">
        <v>3</v>
      </c>
      <c r="AL34" s="13">
        <v>3</v>
      </c>
      <c r="AN34" s="6"/>
      <c r="AO34" s="7"/>
      <c r="AP34" s="8">
        <v>1</v>
      </c>
      <c r="AQ34" s="9"/>
      <c r="AS34" s="10"/>
      <c r="AT34" s="11"/>
      <c r="AU34" s="12"/>
      <c r="AV34" s="13"/>
      <c r="AX34" s="6"/>
      <c r="AY34" s="7"/>
      <c r="AZ34" s="8"/>
      <c r="BA34" s="9"/>
      <c r="BC34" s="46">
        <f t="shared" si="2"/>
        <v>21</v>
      </c>
      <c r="BD34" s="47">
        <f>(SUM(BE34,'Run distances (Term 2)'!BI34,'Run distances (Term 3)'!BI34,'Run distances (Term 4)'!BI34))</f>
        <v>21.599999999999998</v>
      </c>
      <c r="BE34" s="47">
        <f t="shared" si="3"/>
        <v>6.3</v>
      </c>
    </row>
    <row r="35" spans="1:57" x14ac:dyDescent="0.25">
      <c r="A35" s="44" t="s">
        <v>267</v>
      </c>
      <c r="B35" s="45">
        <v>4</v>
      </c>
      <c r="C35" s="44" t="s">
        <v>49</v>
      </c>
      <c r="D35" t="s">
        <v>55</v>
      </c>
      <c r="E35" s="10">
        <v>0</v>
      </c>
      <c r="F35" s="11">
        <v>0</v>
      </c>
      <c r="G35" s="12">
        <v>3</v>
      </c>
      <c r="H35" s="13">
        <v>5</v>
      </c>
      <c r="J35" s="6"/>
      <c r="K35" s="7"/>
      <c r="L35" s="8"/>
      <c r="M35" s="9"/>
      <c r="O35" s="10"/>
      <c r="P35" s="11">
        <v>2</v>
      </c>
      <c r="Q35" s="12"/>
      <c r="R35" s="13"/>
      <c r="T35" s="6"/>
      <c r="U35" s="7"/>
      <c r="V35" s="8"/>
      <c r="W35" s="9"/>
      <c r="Y35" s="10"/>
      <c r="Z35" s="11"/>
      <c r="AA35" s="12"/>
      <c r="AB35" s="13"/>
      <c r="AD35" s="6"/>
      <c r="AE35" s="7"/>
      <c r="AF35" s="8"/>
      <c r="AG35" s="9"/>
      <c r="AI35" s="10"/>
      <c r="AJ35" s="11"/>
      <c r="AK35" s="12"/>
      <c r="AL35" s="13"/>
      <c r="AN35" s="6"/>
      <c r="AO35" s="7"/>
      <c r="AP35" s="8"/>
      <c r="AQ35" s="9"/>
      <c r="AS35" s="10"/>
      <c r="AT35" s="11"/>
      <c r="AU35" s="12"/>
      <c r="AV35" s="13"/>
      <c r="AX35" s="6"/>
      <c r="AY35" s="7"/>
      <c r="AZ35" s="8"/>
      <c r="BA35" s="9"/>
      <c r="BC35" s="46">
        <f t="shared" si="2"/>
        <v>10</v>
      </c>
      <c r="BD35" s="47">
        <f>(SUM(BE35,'Run distances (Term 2)'!BI35,'Run distances (Term 3)'!BI35,'Run distances (Term 4)'!BI35))</f>
        <v>12.9</v>
      </c>
      <c r="BE35" s="47">
        <f t="shared" si="3"/>
        <v>3</v>
      </c>
    </row>
    <row r="36" spans="1:57" x14ac:dyDescent="0.25">
      <c r="A36" s="44" t="s">
        <v>268</v>
      </c>
      <c r="B36" s="45">
        <v>4</v>
      </c>
      <c r="C36" s="44" t="s">
        <v>49</v>
      </c>
      <c r="D36" t="s">
        <v>55</v>
      </c>
      <c r="E36" s="10"/>
      <c r="F36" s="11"/>
      <c r="G36" s="12"/>
      <c r="H36" s="13"/>
      <c r="J36" s="6">
        <v>3</v>
      </c>
      <c r="K36" s="7">
        <v>0</v>
      </c>
      <c r="L36" s="8"/>
      <c r="M36" s="9"/>
      <c r="O36" s="10"/>
      <c r="P36" s="11">
        <v>1</v>
      </c>
      <c r="Q36" s="12"/>
      <c r="R36" s="13"/>
      <c r="T36" s="6">
        <v>3</v>
      </c>
      <c r="U36" s="7"/>
      <c r="V36" s="8"/>
      <c r="W36" s="9">
        <v>3</v>
      </c>
      <c r="Y36" s="10"/>
      <c r="Z36" s="11"/>
      <c r="AA36" s="12"/>
      <c r="AB36" s="13"/>
      <c r="AD36" s="6"/>
      <c r="AE36" s="7"/>
      <c r="AF36" s="8"/>
      <c r="AG36" s="9"/>
      <c r="AI36" s="10"/>
      <c r="AJ36" s="11"/>
      <c r="AK36" s="12">
        <v>3</v>
      </c>
      <c r="AL36" s="13"/>
      <c r="AN36" s="6"/>
      <c r="AO36" s="7"/>
      <c r="AP36" s="8"/>
      <c r="AQ36" s="9"/>
      <c r="AS36" s="10"/>
      <c r="AT36" s="11"/>
      <c r="AU36" s="12"/>
      <c r="AV36" s="13"/>
      <c r="AX36" s="6"/>
      <c r="AY36" s="7"/>
      <c r="AZ36" s="8"/>
      <c r="BA36" s="9"/>
      <c r="BC36" s="46">
        <f t="shared" si="2"/>
        <v>13</v>
      </c>
      <c r="BD36" s="47">
        <f>(SUM(BE36,'Run distances (Term 2)'!BI36,'Run distances (Term 3)'!BI36,'Run distances (Term 4)'!BI36))</f>
        <v>16.8</v>
      </c>
      <c r="BE36" s="47">
        <f t="shared" si="3"/>
        <v>3.9</v>
      </c>
    </row>
    <row r="37" spans="1:57" x14ac:dyDescent="0.25">
      <c r="A37" s="44" t="s">
        <v>269</v>
      </c>
      <c r="B37" s="45">
        <v>4</v>
      </c>
      <c r="C37" s="44" t="s">
        <v>49</v>
      </c>
      <c r="D37" t="s">
        <v>55</v>
      </c>
      <c r="E37" s="10">
        <v>0</v>
      </c>
      <c r="F37" s="11">
        <v>0</v>
      </c>
      <c r="G37" s="12">
        <v>1</v>
      </c>
      <c r="H37" s="13">
        <v>2</v>
      </c>
      <c r="J37" s="6">
        <v>4</v>
      </c>
      <c r="K37" s="7">
        <v>3</v>
      </c>
      <c r="L37" s="8"/>
      <c r="M37" s="9"/>
      <c r="O37" s="10"/>
      <c r="P37" s="11"/>
      <c r="Q37" s="12"/>
      <c r="R37" s="13"/>
      <c r="T37" s="6"/>
      <c r="U37" s="7"/>
      <c r="V37" s="8"/>
      <c r="W37" s="9"/>
      <c r="Y37" s="10"/>
      <c r="Z37" s="11">
        <v>5</v>
      </c>
      <c r="AA37" s="12"/>
      <c r="AB37" s="13"/>
      <c r="AD37" s="6"/>
      <c r="AE37" s="7"/>
      <c r="AF37" s="8"/>
      <c r="AG37" s="9"/>
      <c r="AI37" s="10"/>
      <c r="AJ37" s="11"/>
      <c r="AK37" s="12">
        <v>4</v>
      </c>
      <c r="AL37" s="13">
        <v>3</v>
      </c>
      <c r="AN37" s="6"/>
      <c r="AO37" s="7"/>
      <c r="AP37" s="8"/>
      <c r="AQ37" s="9"/>
      <c r="AS37" s="10"/>
      <c r="AT37" s="11"/>
      <c r="AU37" s="12"/>
      <c r="AV37" s="13"/>
      <c r="AX37" s="6"/>
      <c r="AY37" s="7"/>
      <c r="AZ37" s="8"/>
      <c r="BA37" s="9"/>
      <c r="BC37" s="46">
        <f t="shared" si="2"/>
        <v>22</v>
      </c>
      <c r="BD37" s="47">
        <f>(SUM(BE37,'Run distances (Term 2)'!BI37,'Run distances (Term 3)'!BI37,'Run distances (Term 4)'!BI37))</f>
        <v>15</v>
      </c>
      <c r="BE37" s="47">
        <f t="shared" si="3"/>
        <v>6.6</v>
      </c>
    </row>
    <row r="38" spans="1:57" x14ac:dyDescent="0.25">
      <c r="A38" s="44" t="s">
        <v>270</v>
      </c>
      <c r="B38" s="45">
        <v>4</v>
      </c>
      <c r="C38" s="44" t="s">
        <v>49</v>
      </c>
      <c r="D38" t="s">
        <v>55</v>
      </c>
      <c r="E38" s="10">
        <v>0</v>
      </c>
      <c r="F38" s="11">
        <v>1</v>
      </c>
      <c r="G38" s="12">
        <v>1</v>
      </c>
      <c r="H38" s="13">
        <v>1</v>
      </c>
      <c r="J38" s="6">
        <v>0</v>
      </c>
      <c r="K38" s="7">
        <v>1</v>
      </c>
      <c r="L38" s="8"/>
      <c r="M38" s="9"/>
      <c r="O38" s="10"/>
      <c r="P38" s="11">
        <v>1</v>
      </c>
      <c r="Q38" s="12">
        <v>2</v>
      </c>
      <c r="R38" s="13"/>
      <c r="T38" s="6">
        <v>2</v>
      </c>
      <c r="U38" s="7"/>
      <c r="V38" s="8"/>
      <c r="W38" s="9"/>
      <c r="Y38" s="10">
        <v>2</v>
      </c>
      <c r="Z38" s="11">
        <v>2</v>
      </c>
      <c r="AA38" s="12"/>
      <c r="AB38" s="13"/>
      <c r="AD38" s="6"/>
      <c r="AE38" s="7"/>
      <c r="AF38" s="8"/>
      <c r="AG38" s="9"/>
      <c r="AI38" s="10">
        <v>2</v>
      </c>
      <c r="AJ38" s="11"/>
      <c r="AK38" s="12"/>
      <c r="AL38" s="13">
        <v>3</v>
      </c>
      <c r="AN38" s="6"/>
      <c r="AO38" s="7">
        <v>2</v>
      </c>
      <c r="AP38" s="8"/>
      <c r="AQ38" s="9">
        <v>2</v>
      </c>
      <c r="AS38" s="10"/>
      <c r="AT38" s="11"/>
      <c r="AU38" s="12"/>
      <c r="AV38" s="13"/>
      <c r="AX38" s="6"/>
      <c r="AY38" s="7"/>
      <c r="AZ38" s="8"/>
      <c r="BA38" s="9"/>
      <c r="BC38" s="46">
        <f t="shared" si="2"/>
        <v>22</v>
      </c>
      <c r="BD38" s="47">
        <f>(SUM(BE38,'Run distances (Term 2)'!BI38,'Run distances (Term 3)'!BI38,'Run distances (Term 4)'!BI38))</f>
        <v>15.3</v>
      </c>
      <c r="BE38" s="47">
        <f t="shared" si="3"/>
        <v>6.6</v>
      </c>
    </row>
    <row r="39" spans="1:57" x14ac:dyDescent="0.25">
      <c r="A39" s="44" t="s">
        <v>271</v>
      </c>
      <c r="B39" s="45">
        <v>4</v>
      </c>
      <c r="C39" s="44" t="s">
        <v>49</v>
      </c>
      <c r="D39" t="s">
        <v>55</v>
      </c>
      <c r="E39" s="10">
        <v>0</v>
      </c>
      <c r="F39" s="11">
        <v>0</v>
      </c>
      <c r="G39" s="12">
        <v>1</v>
      </c>
      <c r="H39" s="13">
        <v>2</v>
      </c>
      <c r="J39" s="6">
        <v>2</v>
      </c>
      <c r="K39" s="7">
        <v>0</v>
      </c>
      <c r="L39" s="8"/>
      <c r="M39" s="9">
        <v>3</v>
      </c>
      <c r="O39" s="10"/>
      <c r="P39" s="11"/>
      <c r="Q39" s="12"/>
      <c r="R39" s="13"/>
      <c r="T39" s="6"/>
      <c r="U39" s="7"/>
      <c r="V39" s="8"/>
      <c r="W39" s="9"/>
      <c r="Y39" s="10"/>
      <c r="Z39" s="11"/>
      <c r="AA39" s="12"/>
      <c r="AB39" s="13"/>
      <c r="AD39" s="6"/>
      <c r="AE39" s="7"/>
      <c r="AF39" s="8"/>
      <c r="AG39" s="9">
        <v>4</v>
      </c>
      <c r="AI39" s="10"/>
      <c r="AJ39" s="11"/>
      <c r="AK39" s="12"/>
      <c r="AL39" s="13"/>
      <c r="AN39" s="6"/>
      <c r="AO39" s="7"/>
      <c r="AP39" s="8">
        <v>2</v>
      </c>
      <c r="AQ39" s="9">
        <v>2</v>
      </c>
      <c r="AS39" s="10"/>
      <c r="AT39" s="11"/>
      <c r="AU39" s="12"/>
      <c r="AV39" s="13"/>
      <c r="AX39" s="6"/>
      <c r="AY39" s="7"/>
      <c r="AZ39" s="8"/>
      <c r="BA39" s="9"/>
      <c r="BC39" s="46">
        <f t="shared" si="2"/>
        <v>16</v>
      </c>
      <c r="BD39" s="47">
        <f>(SUM(BE39,'Run distances (Term 2)'!BI39,'Run distances (Term 3)'!BI39,'Run distances (Term 4)'!BI39))</f>
        <v>17.100000000000001</v>
      </c>
      <c r="BE39" s="47">
        <f t="shared" si="3"/>
        <v>4.8</v>
      </c>
    </row>
    <row r="40" spans="1:57" x14ac:dyDescent="0.25">
      <c r="A40" s="44" t="s">
        <v>272</v>
      </c>
      <c r="B40" s="45">
        <v>4</v>
      </c>
      <c r="C40" s="44" t="s">
        <v>49</v>
      </c>
      <c r="D40" t="s">
        <v>55</v>
      </c>
      <c r="E40" s="10">
        <v>0</v>
      </c>
      <c r="F40" s="11">
        <v>0</v>
      </c>
      <c r="G40" s="12">
        <v>1</v>
      </c>
      <c r="H40" s="13">
        <v>1</v>
      </c>
      <c r="J40" s="6"/>
      <c r="K40" s="7"/>
      <c r="L40" s="8"/>
      <c r="M40" s="9">
        <v>4</v>
      </c>
      <c r="O40" s="10"/>
      <c r="P40" s="11"/>
      <c r="Q40" s="12"/>
      <c r="R40" s="13"/>
      <c r="T40" s="6"/>
      <c r="U40" s="7"/>
      <c r="V40" s="8"/>
      <c r="W40" s="9"/>
      <c r="Y40" s="10"/>
      <c r="Z40" s="11"/>
      <c r="AA40" s="12"/>
      <c r="AB40" s="13"/>
      <c r="AD40" s="6"/>
      <c r="AE40" s="7"/>
      <c r="AF40" s="8"/>
      <c r="AG40" s="9"/>
      <c r="AI40" s="10"/>
      <c r="AJ40" s="11"/>
      <c r="AK40" s="12"/>
      <c r="AL40" s="13"/>
      <c r="AN40" s="6"/>
      <c r="AO40" s="7"/>
      <c r="AP40" s="8"/>
      <c r="AQ40" s="9"/>
      <c r="AS40" s="10"/>
      <c r="AT40" s="11"/>
      <c r="AU40" s="12"/>
      <c r="AV40" s="13"/>
      <c r="AX40" s="6"/>
      <c r="AY40" s="7"/>
      <c r="AZ40" s="8"/>
      <c r="BA40" s="9"/>
      <c r="BC40" s="46">
        <f t="shared" si="2"/>
        <v>6</v>
      </c>
      <c r="BD40" s="47">
        <f>(SUM(BE40,'Run distances (Term 2)'!BI40,'Run distances (Term 3)'!BI40,'Run distances (Term 4)'!BI40))</f>
        <v>13.5</v>
      </c>
      <c r="BE40" s="47">
        <f t="shared" si="3"/>
        <v>1.7999999999999998</v>
      </c>
    </row>
    <row r="41" spans="1:57" x14ac:dyDescent="0.25">
      <c r="A41" s="44" t="s">
        <v>273</v>
      </c>
      <c r="B41" s="45">
        <v>6</v>
      </c>
      <c r="C41" s="44" t="s">
        <v>49</v>
      </c>
      <c r="D41" t="s">
        <v>50</v>
      </c>
      <c r="E41" s="10">
        <v>0</v>
      </c>
      <c r="F41" s="11">
        <v>7</v>
      </c>
      <c r="G41" s="12">
        <v>8</v>
      </c>
      <c r="H41" s="13">
        <v>0</v>
      </c>
      <c r="J41" s="6">
        <v>7</v>
      </c>
      <c r="K41" s="7">
        <v>1</v>
      </c>
      <c r="L41" s="8">
        <v>6</v>
      </c>
      <c r="M41" s="9">
        <v>6</v>
      </c>
      <c r="O41" s="10">
        <v>5</v>
      </c>
      <c r="P41" s="11">
        <v>10</v>
      </c>
      <c r="Q41" s="12">
        <v>3</v>
      </c>
      <c r="R41" s="13">
        <v>10</v>
      </c>
      <c r="T41" s="6">
        <v>7</v>
      </c>
      <c r="U41" s="7">
        <v>7</v>
      </c>
      <c r="V41" s="8">
        <v>5</v>
      </c>
      <c r="W41" s="9"/>
      <c r="Y41" s="10"/>
      <c r="Z41" s="11"/>
      <c r="AA41" s="12">
        <v>3</v>
      </c>
      <c r="AB41" s="13"/>
      <c r="AD41" s="6"/>
      <c r="AE41" s="7">
        <v>5</v>
      </c>
      <c r="AF41" s="8">
        <v>7</v>
      </c>
      <c r="AG41" s="9">
        <v>1</v>
      </c>
      <c r="AI41" s="10">
        <v>3</v>
      </c>
      <c r="AJ41" s="11">
        <v>3</v>
      </c>
      <c r="AK41" s="12"/>
      <c r="AL41" s="13"/>
      <c r="AN41" s="6"/>
      <c r="AO41" s="7">
        <v>8</v>
      </c>
      <c r="AP41" s="8">
        <v>6</v>
      </c>
      <c r="AQ41" s="9"/>
      <c r="AS41" s="10"/>
      <c r="AT41" s="11"/>
      <c r="AU41" s="12"/>
      <c r="AV41" s="13"/>
      <c r="AX41" s="6"/>
      <c r="AY41" s="7"/>
      <c r="AZ41" s="8"/>
      <c r="BA41" s="9"/>
      <c r="BC41" s="46">
        <f t="shared" si="2"/>
        <v>118</v>
      </c>
      <c r="BD41" s="47">
        <f>(SUM(BE41,'Run distances (Term 2)'!BI41,'Run distances (Term 3)'!BI41,'Run distances (Term 4)'!BI41))</f>
        <v>60.3</v>
      </c>
      <c r="BE41" s="47">
        <f t="shared" si="3"/>
        <v>35.4</v>
      </c>
    </row>
    <row r="42" spans="1:57" x14ac:dyDescent="0.25">
      <c r="A42" s="44" t="s">
        <v>274</v>
      </c>
      <c r="B42" s="45">
        <v>6</v>
      </c>
      <c r="C42" s="44" t="s">
        <v>49</v>
      </c>
      <c r="D42" t="s">
        <v>50</v>
      </c>
      <c r="E42" s="10"/>
      <c r="F42" s="11"/>
      <c r="G42" s="12"/>
      <c r="H42" s="13"/>
      <c r="J42" s="6">
        <v>0</v>
      </c>
      <c r="K42" s="7">
        <v>5</v>
      </c>
      <c r="L42" s="8">
        <v>2</v>
      </c>
      <c r="M42" s="9"/>
      <c r="O42" s="10">
        <v>5</v>
      </c>
      <c r="P42" s="11">
        <v>8</v>
      </c>
      <c r="Q42" s="12"/>
      <c r="R42" s="13"/>
      <c r="T42" s="6">
        <v>4</v>
      </c>
      <c r="U42" s="7"/>
      <c r="V42" s="8"/>
      <c r="W42" s="9"/>
      <c r="Y42" s="10"/>
      <c r="Z42" s="11"/>
      <c r="AA42" s="12"/>
      <c r="AB42" s="13"/>
      <c r="AD42" s="6"/>
      <c r="AE42" s="7"/>
      <c r="AF42" s="8"/>
      <c r="AG42" s="9"/>
      <c r="AI42" s="10">
        <v>4</v>
      </c>
      <c r="AJ42" s="11"/>
      <c r="AK42" s="12"/>
      <c r="AL42" s="13"/>
      <c r="AN42" s="6"/>
      <c r="AO42" s="7"/>
      <c r="AP42" s="8"/>
      <c r="AQ42" s="9"/>
      <c r="AS42" s="10"/>
      <c r="AT42" s="11"/>
      <c r="AU42" s="12"/>
      <c r="AV42" s="13"/>
      <c r="AX42" s="6">
        <v>7</v>
      </c>
      <c r="AY42" s="7"/>
      <c r="AZ42" s="8"/>
      <c r="BA42" s="9"/>
      <c r="BC42" s="46">
        <f t="shared" si="2"/>
        <v>35</v>
      </c>
      <c r="BD42" s="47">
        <f>(SUM(BE42,'Run distances (Term 2)'!BI42,'Run distances (Term 3)'!BI42,'Run distances (Term 4)'!BI42))</f>
        <v>21.9</v>
      </c>
      <c r="BE42" s="47">
        <f t="shared" si="3"/>
        <v>10.5</v>
      </c>
    </row>
    <row r="43" spans="1:57" x14ac:dyDescent="0.25">
      <c r="A43" s="44" t="s">
        <v>275</v>
      </c>
      <c r="B43" s="45">
        <v>6</v>
      </c>
      <c r="C43" s="44" t="s">
        <v>49</v>
      </c>
      <c r="D43" t="s">
        <v>50</v>
      </c>
      <c r="E43" s="10">
        <v>0</v>
      </c>
      <c r="F43" s="11">
        <v>5</v>
      </c>
      <c r="G43" s="12">
        <v>6</v>
      </c>
      <c r="H43" s="13">
        <v>6</v>
      </c>
      <c r="J43" s="6"/>
      <c r="K43" s="7"/>
      <c r="L43" s="8">
        <v>2</v>
      </c>
      <c r="M43" s="9">
        <v>2</v>
      </c>
      <c r="O43" s="10"/>
      <c r="P43" s="11"/>
      <c r="Q43" s="12">
        <v>5</v>
      </c>
      <c r="R43" s="13">
        <v>4</v>
      </c>
      <c r="T43" s="6"/>
      <c r="U43" s="7">
        <v>3</v>
      </c>
      <c r="V43" s="8">
        <v>3</v>
      </c>
      <c r="W43" s="9"/>
      <c r="Y43" s="10"/>
      <c r="Z43" s="11"/>
      <c r="AA43" s="12"/>
      <c r="AB43" s="13"/>
      <c r="AD43" s="6"/>
      <c r="AE43" s="7"/>
      <c r="AF43" s="8"/>
      <c r="AG43" s="9"/>
      <c r="AI43" s="10"/>
      <c r="AJ43" s="11"/>
      <c r="AK43" s="12"/>
      <c r="AL43" s="13"/>
      <c r="AN43" s="6"/>
      <c r="AO43" s="7"/>
      <c r="AP43" s="8"/>
      <c r="AQ43" s="9"/>
      <c r="AS43" s="10"/>
      <c r="AT43" s="11"/>
      <c r="AU43" s="12"/>
      <c r="AV43" s="13"/>
      <c r="AX43" s="6"/>
      <c r="AY43" s="7"/>
      <c r="AZ43" s="8"/>
      <c r="BA43" s="9">
        <v>3</v>
      </c>
      <c r="BC43" s="46">
        <f t="shared" si="2"/>
        <v>39</v>
      </c>
      <c r="BD43" s="47">
        <f>(SUM(BE43,'Run distances (Term 2)'!BI43,'Run distances (Term 3)'!BI43,'Run distances (Term 4)'!BI43))</f>
        <v>13.799999999999999</v>
      </c>
      <c r="BE43" s="47">
        <f t="shared" si="3"/>
        <v>11.7</v>
      </c>
    </row>
    <row r="44" spans="1:57" x14ac:dyDescent="0.25">
      <c r="A44" s="44" t="s">
        <v>276</v>
      </c>
      <c r="B44" s="45">
        <v>6</v>
      </c>
      <c r="C44" s="44" t="s">
        <v>49</v>
      </c>
      <c r="D44" t="s">
        <v>50</v>
      </c>
      <c r="E44" s="10">
        <v>0</v>
      </c>
      <c r="F44" s="11">
        <v>2</v>
      </c>
      <c r="G44" s="12">
        <v>5</v>
      </c>
      <c r="H44" s="13">
        <v>2</v>
      </c>
      <c r="J44" s="6">
        <v>3</v>
      </c>
      <c r="K44" s="7">
        <v>1</v>
      </c>
      <c r="L44" s="8">
        <v>4</v>
      </c>
      <c r="M44" s="9"/>
      <c r="O44" s="10"/>
      <c r="P44" s="11">
        <v>2</v>
      </c>
      <c r="Q44" s="12">
        <v>4</v>
      </c>
      <c r="R44" s="13">
        <v>4</v>
      </c>
      <c r="T44" s="6">
        <v>6</v>
      </c>
      <c r="U44" s="7">
        <v>2</v>
      </c>
      <c r="V44" s="8"/>
      <c r="W44" s="9">
        <v>3</v>
      </c>
      <c r="Y44" s="10"/>
      <c r="Z44" s="11">
        <v>2</v>
      </c>
      <c r="AA44" s="12">
        <v>3</v>
      </c>
      <c r="AB44" s="13"/>
      <c r="AD44" s="6"/>
      <c r="AE44" s="7">
        <v>3</v>
      </c>
      <c r="AF44" s="8">
        <v>2</v>
      </c>
      <c r="AG44" s="9"/>
      <c r="AI44" s="10">
        <v>4</v>
      </c>
      <c r="AJ44" s="11">
        <v>3</v>
      </c>
      <c r="AK44" s="12"/>
      <c r="AL44" s="13">
        <v>7</v>
      </c>
      <c r="AN44" s="6"/>
      <c r="AO44" s="7">
        <v>1</v>
      </c>
      <c r="AP44" s="8">
        <v>3</v>
      </c>
      <c r="AQ44" s="9"/>
      <c r="AS44" s="10"/>
      <c r="AT44" s="11"/>
      <c r="AU44" s="12"/>
      <c r="AV44" s="13"/>
      <c r="AX44" s="6">
        <v>7</v>
      </c>
      <c r="AY44" s="7"/>
      <c r="AZ44" s="8"/>
      <c r="BA44" s="9"/>
      <c r="BC44" s="46">
        <f t="shared" si="2"/>
        <v>73</v>
      </c>
      <c r="BD44" s="47">
        <f>(SUM(BE44,'Run distances (Term 2)'!BI44,'Run distances (Term 3)'!BI44,'Run distances (Term 4)'!BI44))</f>
        <v>54</v>
      </c>
      <c r="BE44" s="47">
        <f t="shared" si="3"/>
        <v>21.9</v>
      </c>
    </row>
    <row r="45" spans="1:57" x14ac:dyDescent="0.25">
      <c r="A45" s="44" t="s">
        <v>277</v>
      </c>
      <c r="B45" s="45">
        <v>6</v>
      </c>
      <c r="C45" s="44" t="s">
        <v>49</v>
      </c>
      <c r="D45" t="s">
        <v>51</v>
      </c>
      <c r="E45" s="10"/>
      <c r="F45" s="11"/>
      <c r="G45" s="12"/>
      <c r="H45" s="13"/>
      <c r="J45" s="6">
        <v>5</v>
      </c>
      <c r="K45" s="7">
        <v>0</v>
      </c>
      <c r="L45" s="8"/>
      <c r="M45" s="9"/>
      <c r="O45" s="10"/>
      <c r="P45" s="11"/>
      <c r="Q45" s="12"/>
      <c r="R45" s="13"/>
      <c r="T45" s="6"/>
      <c r="U45" s="7">
        <v>3</v>
      </c>
      <c r="V45" s="8">
        <v>2</v>
      </c>
      <c r="W45" s="9">
        <v>3</v>
      </c>
      <c r="Y45" s="10"/>
      <c r="Z45" s="11"/>
      <c r="AA45" s="12"/>
      <c r="AB45" s="13"/>
      <c r="AD45" s="6"/>
      <c r="AE45" s="7"/>
      <c r="AF45" s="8"/>
      <c r="AG45" s="9">
        <v>2</v>
      </c>
      <c r="AI45" s="10"/>
      <c r="AJ45" s="11"/>
      <c r="AK45" s="12"/>
      <c r="AL45" s="13"/>
      <c r="AN45" s="6"/>
      <c r="AO45" s="7"/>
      <c r="AP45" s="8"/>
      <c r="AQ45" s="9"/>
      <c r="AS45" s="10"/>
      <c r="AT45" s="11"/>
      <c r="AU45" s="12"/>
      <c r="AV45" s="13"/>
      <c r="AX45" s="6"/>
      <c r="AY45" s="7"/>
      <c r="AZ45" s="8"/>
      <c r="BA45" s="9">
        <v>3</v>
      </c>
      <c r="BC45" s="46">
        <f t="shared" si="2"/>
        <v>18</v>
      </c>
      <c r="BD45" s="47">
        <f>(SUM(BE45,'Run distances (Term 2)'!BI45,'Run distances (Term 3)'!BI45,'Run distances (Term 4)'!BI45))</f>
        <v>11.999999999999998</v>
      </c>
      <c r="BE45" s="47">
        <f t="shared" si="3"/>
        <v>5.3999999999999995</v>
      </c>
    </row>
    <row r="46" spans="1:57" x14ac:dyDescent="0.25">
      <c r="A46" s="44" t="s">
        <v>278</v>
      </c>
      <c r="B46" s="45">
        <v>6</v>
      </c>
      <c r="C46" s="44" t="s">
        <v>49</v>
      </c>
      <c r="D46" t="s">
        <v>51</v>
      </c>
      <c r="E46" s="10"/>
      <c r="F46" s="11"/>
      <c r="G46" s="12"/>
      <c r="H46" s="13"/>
      <c r="J46" s="6"/>
      <c r="K46" s="7"/>
      <c r="L46" s="8"/>
      <c r="M46" s="9"/>
      <c r="O46" s="10">
        <v>3</v>
      </c>
      <c r="P46" s="11">
        <v>2</v>
      </c>
      <c r="Q46" s="12">
        <v>6</v>
      </c>
      <c r="R46" s="13">
        <v>3</v>
      </c>
      <c r="T46" s="6"/>
      <c r="U46" s="7"/>
      <c r="V46" s="8"/>
      <c r="W46" s="9"/>
      <c r="Y46" s="10"/>
      <c r="Z46" s="11"/>
      <c r="AA46" s="12">
        <v>5</v>
      </c>
      <c r="AB46" s="13"/>
      <c r="AD46" s="6"/>
      <c r="AE46" s="7"/>
      <c r="AF46" s="8"/>
      <c r="AG46" s="9"/>
      <c r="AI46" s="10"/>
      <c r="AJ46" s="11"/>
      <c r="AK46" s="12"/>
      <c r="AL46" s="13"/>
      <c r="AN46" s="6"/>
      <c r="AO46" s="7"/>
      <c r="AP46" s="8"/>
      <c r="AQ46" s="9"/>
      <c r="AS46" s="10"/>
      <c r="AT46" s="11">
        <v>5</v>
      </c>
      <c r="AU46" s="12"/>
      <c r="AV46" s="13"/>
      <c r="AX46" s="6"/>
      <c r="AY46" s="7"/>
      <c r="AZ46" s="8"/>
      <c r="BA46" s="9"/>
      <c r="BC46" s="46">
        <f t="shared" si="2"/>
        <v>24</v>
      </c>
      <c r="BD46" s="47">
        <f>(SUM(BE46,'Run distances (Term 2)'!BI46,'Run distances (Term 3)'!BI46,'Run distances (Term 4)'!BI46))</f>
        <v>14.7</v>
      </c>
      <c r="BE46" s="47">
        <f t="shared" si="3"/>
        <v>7.1999999999999993</v>
      </c>
    </row>
    <row r="47" spans="1:57" x14ac:dyDescent="0.25">
      <c r="A47" s="44" t="s">
        <v>246</v>
      </c>
      <c r="B47" s="45">
        <v>6</v>
      </c>
      <c r="C47" s="44" t="s">
        <v>49</v>
      </c>
      <c r="D47" t="s">
        <v>51</v>
      </c>
      <c r="E47" s="10"/>
      <c r="F47" s="11"/>
      <c r="G47" s="12"/>
      <c r="H47" s="13"/>
      <c r="J47" s="6"/>
      <c r="K47" s="7"/>
      <c r="L47" s="8"/>
      <c r="M47" s="9"/>
      <c r="O47" s="10"/>
      <c r="P47" s="11"/>
      <c r="Q47" s="12"/>
      <c r="R47" s="13"/>
      <c r="T47" s="6"/>
      <c r="U47" s="7"/>
      <c r="V47" s="8"/>
      <c r="W47" s="9"/>
      <c r="Y47" s="10"/>
      <c r="Z47" s="11"/>
      <c r="AA47" s="12"/>
      <c r="AB47" s="13"/>
      <c r="AD47" s="6"/>
      <c r="AE47" s="7"/>
      <c r="AF47" s="8"/>
      <c r="AG47" s="9"/>
      <c r="AI47" s="10"/>
      <c r="AJ47" s="11"/>
      <c r="AK47" s="12"/>
      <c r="AL47" s="13"/>
      <c r="AN47" s="6"/>
      <c r="AO47" s="7"/>
      <c r="AP47" s="8"/>
      <c r="AQ47" s="9"/>
      <c r="AS47" s="10"/>
      <c r="AT47" s="11"/>
      <c r="AU47" s="12"/>
      <c r="AV47" s="13"/>
      <c r="AX47" s="6"/>
      <c r="AY47" s="7"/>
      <c r="AZ47" s="8"/>
      <c r="BA47" s="9"/>
      <c r="BC47" s="46">
        <f t="shared" si="2"/>
        <v>0</v>
      </c>
      <c r="BD47" s="47">
        <f>(SUM(BE47,'Run distances (Term 2)'!BI47,'Run distances (Term 3)'!BI47,'Run distances (Term 4)'!BI47))</f>
        <v>8.6999999999999993</v>
      </c>
      <c r="BE47" s="47">
        <f t="shared" si="3"/>
        <v>0</v>
      </c>
    </row>
    <row r="48" spans="1:57" x14ac:dyDescent="0.25">
      <c r="A48" s="44" t="s">
        <v>245</v>
      </c>
      <c r="B48" s="45">
        <v>7</v>
      </c>
      <c r="C48" s="44" t="s">
        <v>49</v>
      </c>
      <c r="D48" t="s">
        <v>51</v>
      </c>
      <c r="E48" s="10">
        <v>0</v>
      </c>
      <c r="F48" s="11">
        <v>0</v>
      </c>
      <c r="G48" s="12">
        <v>0</v>
      </c>
      <c r="H48" s="13">
        <v>1</v>
      </c>
      <c r="J48" s="6">
        <v>0</v>
      </c>
      <c r="K48" s="7">
        <v>5</v>
      </c>
      <c r="L48" s="8">
        <v>7</v>
      </c>
      <c r="M48" s="9">
        <v>6</v>
      </c>
      <c r="O48" s="10"/>
      <c r="P48" s="11"/>
      <c r="Q48" s="12"/>
      <c r="R48" s="13"/>
      <c r="T48" s="6">
        <v>6</v>
      </c>
      <c r="U48" s="7">
        <v>6</v>
      </c>
      <c r="V48" s="8">
        <v>7</v>
      </c>
      <c r="W48" s="9">
        <v>5</v>
      </c>
      <c r="Y48" s="10"/>
      <c r="Z48" s="11">
        <v>3</v>
      </c>
      <c r="AA48" s="12">
        <v>2</v>
      </c>
      <c r="AB48" s="13"/>
      <c r="AD48" s="6"/>
      <c r="AE48" s="7">
        <v>4</v>
      </c>
      <c r="AF48" s="8">
        <v>5</v>
      </c>
      <c r="AG48" s="9">
        <v>7</v>
      </c>
      <c r="AI48" s="10"/>
      <c r="AJ48" s="11">
        <v>4</v>
      </c>
      <c r="AK48" s="12"/>
      <c r="AL48" s="13"/>
      <c r="AN48" s="6"/>
      <c r="AO48" s="7">
        <v>3</v>
      </c>
      <c r="AP48" s="8"/>
      <c r="AQ48" s="9">
        <v>3</v>
      </c>
      <c r="AS48" s="10"/>
      <c r="AT48" s="11"/>
      <c r="AU48" s="12"/>
      <c r="AV48" s="13"/>
      <c r="AX48" s="6"/>
      <c r="AY48" s="7"/>
      <c r="AZ48" s="8"/>
      <c r="BA48" s="9"/>
      <c r="BC48" s="46">
        <f t="shared" si="2"/>
        <v>74</v>
      </c>
      <c r="BD48" s="47">
        <f>(SUM(BE48,'Run distances (Term 2)'!BI48,'Run distances (Term 3)'!BI48,'Run distances (Term 4)'!BI48))</f>
        <v>28.2</v>
      </c>
      <c r="BE48" s="47">
        <f t="shared" si="3"/>
        <v>22.2</v>
      </c>
    </row>
    <row r="49" spans="1:57" x14ac:dyDescent="0.25">
      <c r="A49" s="44" t="s">
        <v>244</v>
      </c>
      <c r="B49" s="45">
        <v>7</v>
      </c>
      <c r="C49" s="44" t="s">
        <v>49</v>
      </c>
      <c r="D49" t="s">
        <v>51</v>
      </c>
      <c r="E49" s="10">
        <v>0</v>
      </c>
      <c r="F49" s="11">
        <v>0</v>
      </c>
      <c r="G49" s="12">
        <v>0</v>
      </c>
      <c r="H49" s="13">
        <v>2</v>
      </c>
      <c r="J49" s="6">
        <v>5</v>
      </c>
      <c r="K49" s="7">
        <v>0</v>
      </c>
      <c r="L49" s="8">
        <v>5</v>
      </c>
      <c r="M49" s="9">
        <v>5</v>
      </c>
      <c r="O49" s="10">
        <v>4</v>
      </c>
      <c r="P49" s="11"/>
      <c r="Q49" s="12"/>
      <c r="R49" s="13"/>
      <c r="T49" s="6"/>
      <c r="U49" s="7"/>
      <c r="V49" s="8"/>
      <c r="W49" s="9"/>
      <c r="Y49" s="10"/>
      <c r="Z49" s="11"/>
      <c r="AA49" s="12"/>
      <c r="AB49" s="13"/>
      <c r="AD49" s="6"/>
      <c r="AE49" s="7"/>
      <c r="AF49" s="8"/>
      <c r="AG49" s="9"/>
      <c r="AI49" s="10"/>
      <c r="AJ49" s="11"/>
      <c r="AK49" s="12"/>
      <c r="AL49" s="13"/>
      <c r="AN49" s="6"/>
      <c r="AO49" s="7"/>
      <c r="AP49" s="8"/>
      <c r="AQ49" s="9"/>
      <c r="AS49" s="10"/>
      <c r="AT49" s="11"/>
      <c r="AU49" s="12"/>
      <c r="AV49" s="13"/>
      <c r="AX49" s="6"/>
      <c r="AY49" s="7"/>
      <c r="AZ49" s="8"/>
      <c r="BA49" s="9"/>
      <c r="BC49" s="46">
        <f t="shared" si="2"/>
        <v>21</v>
      </c>
      <c r="BD49" s="47">
        <f>(SUM(BE49,'Run distances (Term 2)'!BI49,'Run distances (Term 3)'!BI49,'Run distances (Term 4)'!BI49))</f>
        <v>28.499999999999996</v>
      </c>
      <c r="BE49" s="47">
        <f t="shared" si="3"/>
        <v>6.3</v>
      </c>
    </row>
    <row r="50" spans="1:57" x14ac:dyDescent="0.25">
      <c r="A50" s="44" t="s">
        <v>243</v>
      </c>
      <c r="B50" s="45">
        <v>7</v>
      </c>
      <c r="C50" s="44" t="s">
        <v>49</v>
      </c>
      <c r="D50" t="s">
        <v>51</v>
      </c>
      <c r="E50" s="10"/>
      <c r="F50" s="11"/>
      <c r="G50" s="12"/>
      <c r="H50" s="13"/>
      <c r="J50" s="6">
        <v>1</v>
      </c>
      <c r="K50" s="7"/>
      <c r="L50" s="8"/>
      <c r="M50" s="9"/>
      <c r="O50" s="10"/>
      <c r="P50" s="11"/>
      <c r="Q50" s="12"/>
      <c r="R50" s="13"/>
      <c r="T50" s="6"/>
      <c r="U50" s="7"/>
      <c r="V50" s="8"/>
      <c r="W50" s="9"/>
      <c r="Y50" s="10"/>
      <c r="Z50" s="11"/>
      <c r="AA50" s="12"/>
      <c r="AB50" s="13"/>
      <c r="AD50" s="6"/>
      <c r="AE50" s="7"/>
      <c r="AF50" s="8"/>
      <c r="AG50" s="9"/>
      <c r="AI50" s="10"/>
      <c r="AJ50" s="11"/>
      <c r="AK50" s="12"/>
      <c r="AL50" s="13"/>
      <c r="AN50" s="6"/>
      <c r="AO50" s="7"/>
      <c r="AP50" s="8"/>
      <c r="AQ50" s="9"/>
      <c r="AS50" s="10"/>
      <c r="AT50" s="11"/>
      <c r="AU50" s="12"/>
      <c r="AV50" s="13"/>
      <c r="AX50" s="6"/>
      <c r="AY50" s="7"/>
      <c r="AZ50" s="8"/>
      <c r="BA50" s="9"/>
      <c r="BC50" s="46">
        <f t="shared" si="2"/>
        <v>1</v>
      </c>
      <c r="BD50" s="47">
        <f>(SUM(BE50,'Run distances (Term 2)'!BI50,'Run distances (Term 3)'!BI50,'Run distances (Term 4)'!BI50))</f>
        <v>3.8999999999999995</v>
      </c>
      <c r="BE50" s="47">
        <f t="shared" si="3"/>
        <v>0.3</v>
      </c>
    </row>
    <row r="51" spans="1:57" x14ac:dyDescent="0.25">
      <c r="A51" s="44" t="s">
        <v>358</v>
      </c>
      <c r="B51" s="45">
        <v>7</v>
      </c>
      <c r="C51" s="44" t="s">
        <v>49</v>
      </c>
      <c r="E51" s="10"/>
      <c r="F51" s="11"/>
      <c r="G51" s="12"/>
      <c r="H51" s="13"/>
      <c r="J51" s="6"/>
      <c r="K51" s="7"/>
      <c r="L51" s="8"/>
      <c r="M51" s="9"/>
      <c r="O51" s="10"/>
      <c r="P51" s="11"/>
      <c r="Q51" s="12"/>
      <c r="R51" s="13"/>
      <c r="T51" s="6"/>
      <c r="U51" s="7"/>
      <c r="V51" s="8"/>
      <c r="W51" s="9"/>
      <c r="Y51" s="10"/>
      <c r="Z51" s="11"/>
      <c r="AA51" s="12"/>
      <c r="AB51" s="13"/>
      <c r="AD51" s="6"/>
      <c r="AE51" s="7"/>
      <c r="AF51" s="8"/>
      <c r="AG51" s="9"/>
      <c r="AI51" s="10"/>
      <c r="AJ51" s="11"/>
      <c r="AK51" s="12"/>
      <c r="AL51" s="13"/>
      <c r="AN51" s="6"/>
      <c r="AO51" s="7"/>
      <c r="AP51" s="8"/>
      <c r="AQ51" s="9"/>
      <c r="AS51" s="10"/>
      <c r="AT51" s="11"/>
      <c r="AU51" s="12"/>
      <c r="AV51" s="13"/>
      <c r="AX51" s="6"/>
      <c r="AY51" s="7"/>
      <c r="AZ51" s="8"/>
      <c r="BA51" s="9"/>
      <c r="BC51" s="46">
        <f t="shared" si="2"/>
        <v>0</v>
      </c>
      <c r="BD51" s="47">
        <f>(SUM(BE51,'Run distances (Term 2)'!BI51,'Run distances (Term 3)'!BI51,'Run distances (Term 4)'!BI51))</f>
        <v>0.89999999999999991</v>
      </c>
      <c r="BE51" s="47">
        <f t="shared" si="3"/>
        <v>0</v>
      </c>
    </row>
    <row r="52" spans="1:57" x14ac:dyDescent="0.25">
      <c r="A52" s="44" t="s">
        <v>242</v>
      </c>
      <c r="B52" s="45">
        <v>8</v>
      </c>
      <c r="C52" s="44" t="s">
        <v>49</v>
      </c>
      <c r="D52" t="s">
        <v>61</v>
      </c>
      <c r="E52" s="10"/>
      <c r="F52" s="11"/>
      <c r="G52" s="12"/>
      <c r="H52" s="13"/>
      <c r="J52" s="6"/>
      <c r="K52" s="7"/>
      <c r="L52" s="8"/>
      <c r="M52" s="9"/>
      <c r="O52" s="10"/>
      <c r="P52" s="11"/>
      <c r="Q52" s="12"/>
      <c r="R52" s="13"/>
      <c r="T52" s="6"/>
      <c r="U52" s="7"/>
      <c r="V52" s="8"/>
      <c r="W52" s="9"/>
      <c r="Y52" s="10"/>
      <c r="Z52" s="11"/>
      <c r="AA52" s="12"/>
      <c r="AB52" s="13"/>
      <c r="AD52" s="6"/>
      <c r="AE52" s="7"/>
      <c r="AF52" s="8"/>
      <c r="AG52" s="9"/>
      <c r="AI52" s="10"/>
      <c r="AJ52" s="11"/>
      <c r="AK52" s="12"/>
      <c r="AL52" s="13"/>
      <c r="AN52" s="6"/>
      <c r="AO52" s="7"/>
      <c r="AP52" s="8"/>
      <c r="AQ52" s="9"/>
      <c r="AS52" s="10"/>
      <c r="AT52" s="11"/>
      <c r="AU52" s="12"/>
      <c r="AV52" s="13"/>
      <c r="AX52" s="6"/>
      <c r="AY52" s="7"/>
      <c r="AZ52" s="8"/>
      <c r="BA52" s="9"/>
      <c r="BC52" s="46">
        <f t="shared" ref="BC52" si="5">SUM(E52:BA52)</f>
        <v>0</v>
      </c>
      <c r="BD52" s="47">
        <f>(SUM(BE52,'Run distances (Term 2)'!BI52,'Run distances (Term 3)'!BI52,'Run distances (Term 4)'!BI52))</f>
        <v>0.89999999999999991</v>
      </c>
      <c r="BE52" s="47">
        <f t="shared" si="3"/>
        <v>0</v>
      </c>
    </row>
    <row r="53" spans="1:57" x14ac:dyDescent="0.25">
      <c r="A53" s="44" t="s">
        <v>359</v>
      </c>
      <c r="B53" s="45">
        <v>8</v>
      </c>
      <c r="C53" s="44" t="s">
        <v>49</v>
      </c>
      <c r="D53" t="s">
        <v>61</v>
      </c>
      <c r="E53" s="10"/>
      <c r="F53" s="11"/>
      <c r="G53" s="12"/>
      <c r="H53" s="13"/>
      <c r="J53" s="6"/>
      <c r="K53" s="7"/>
      <c r="L53" s="8"/>
      <c r="M53" s="9"/>
      <c r="O53" s="10"/>
      <c r="P53" s="11"/>
      <c r="Q53" s="12"/>
      <c r="R53" s="13"/>
      <c r="T53" s="6"/>
      <c r="U53" s="7"/>
      <c r="V53" s="8"/>
      <c r="W53" s="9"/>
      <c r="Y53" s="10"/>
      <c r="Z53" s="11"/>
      <c r="AA53" s="12">
        <v>3</v>
      </c>
      <c r="AB53" s="13"/>
      <c r="AD53" s="6"/>
      <c r="AE53" s="7"/>
      <c r="AF53" s="8"/>
      <c r="AG53" s="9"/>
      <c r="AI53" s="10"/>
      <c r="AJ53" s="11"/>
      <c r="AK53" s="12"/>
      <c r="AL53" s="13"/>
      <c r="AN53" s="6"/>
      <c r="AO53" s="7"/>
      <c r="AP53" s="8"/>
      <c r="AQ53" s="9"/>
      <c r="AS53" s="10"/>
      <c r="AT53" s="11"/>
      <c r="AU53" s="12"/>
      <c r="AV53" s="13"/>
      <c r="AX53" s="6"/>
      <c r="AY53" s="7"/>
      <c r="AZ53" s="8"/>
      <c r="BA53" s="9"/>
      <c r="BC53" s="46">
        <f t="shared" ref="BC53" si="6">SUM(E53:BA53)</f>
        <v>3</v>
      </c>
      <c r="BD53" s="47">
        <f>(SUM(BE53,'Run distances (Term 2)'!BI53,'Run distances (Term 3)'!BI53,'Run distances (Term 4)'!BI53))</f>
        <v>0.89999999999999991</v>
      </c>
      <c r="BE53" s="47">
        <f t="shared" si="3"/>
        <v>0.89999999999999991</v>
      </c>
    </row>
    <row r="54" spans="1:57" x14ac:dyDescent="0.25">
      <c r="A54" s="44" t="s">
        <v>360</v>
      </c>
      <c r="B54" s="45">
        <v>8</v>
      </c>
      <c r="C54" s="44" t="s">
        <v>49</v>
      </c>
      <c r="D54" t="s">
        <v>61</v>
      </c>
      <c r="E54" s="10"/>
      <c r="F54" s="11"/>
      <c r="G54" s="12"/>
      <c r="H54" s="13"/>
      <c r="J54" s="6"/>
      <c r="K54" s="7"/>
      <c r="L54" s="8"/>
      <c r="M54" s="9"/>
      <c r="O54" s="10">
        <v>2</v>
      </c>
      <c r="P54" s="11"/>
      <c r="Q54" s="12"/>
      <c r="R54" s="13"/>
      <c r="T54" s="6"/>
      <c r="U54" s="7"/>
      <c r="V54" s="8"/>
      <c r="W54" s="9">
        <v>4</v>
      </c>
      <c r="Y54" s="10"/>
      <c r="Z54" s="11"/>
      <c r="AA54" s="12">
        <v>3</v>
      </c>
      <c r="AB54" s="13"/>
      <c r="AD54" s="6"/>
      <c r="AE54" s="7"/>
      <c r="AF54" s="8"/>
      <c r="AG54" s="9"/>
      <c r="AI54" s="10"/>
      <c r="AJ54" s="11"/>
      <c r="AK54" s="12"/>
      <c r="AL54" s="13"/>
      <c r="AN54" s="6"/>
      <c r="AO54" s="7"/>
      <c r="AP54" s="8"/>
      <c r="AQ54" s="9"/>
      <c r="AS54" s="10"/>
      <c r="AT54" s="11"/>
      <c r="AU54" s="12"/>
      <c r="AV54" s="13"/>
      <c r="AX54" s="6"/>
      <c r="AY54" s="7"/>
      <c r="AZ54" s="8"/>
      <c r="BA54" s="9"/>
      <c r="BC54" s="46">
        <f t="shared" si="2"/>
        <v>9</v>
      </c>
      <c r="BD54" s="47">
        <f>(SUM(BE54,'Run distances (Term 2)'!BI54,'Run distances (Term 3)'!BI54,'Run distances (Term 4)'!BI54))</f>
        <v>2.6999999999999997</v>
      </c>
      <c r="BE54" s="47">
        <f t="shared" si="3"/>
        <v>2.6999999999999997</v>
      </c>
    </row>
    <row r="55" spans="1:57" x14ac:dyDescent="0.25">
      <c r="A55" s="44" t="s">
        <v>239</v>
      </c>
      <c r="B55" s="45">
        <v>9</v>
      </c>
      <c r="C55" s="44" t="s">
        <v>49</v>
      </c>
      <c r="D55" t="s">
        <v>57</v>
      </c>
      <c r="E55" s="10">
        <v>4</v>
      </c>
      <c r="F55" s="11">
        <v>7</v>
      </c>
      <c r="G55" s="12">
        <v>8</v>
      </c>
      <c r="H55" s="13">
        <v>6</v>
      </c>
      <c r="J55" s="6">
        <v>7</v>
      </c>
      <c r="K55" s="7">
        <v>6</v>
      </c>
      <c r="L55" s="8">
        <v>7</v>
      </c>
      <c r="M55" s="9">
        <v>9</v>
      </c>
      <c r="O55" s="10">
        <v>6</v>
      </c>
      <c r="P55" s="11">
        <v>8</v>
      </c>
      <c r="Q55" s="12">
        <v>8</v>
      </c>
      <c r="R55" s="13">
        <v>10</v>
      </c>
      <c r="T55" s="6">
        <v>7</v>
      </c>
      <c r="U55" s="7">
        <v>7</v>
      </c>
      <c r="V55" s="8">
        <v>7</v>
      </c>
      <c r="W55" s="9">
        <v>7</v>
      </c>
      <c r="Y55" s="10">
        <v>7</v>
      </c>
      <c r="Z55" s="11">
        <v>7</v>
      </c>
      <c r="AA55" s="12">
        <v>7</v>
      </c>
      <c r="AB55" s="13"/>
      <c r="AD55" s="6"/>
      <c r="AE55" s="7">
        <v>7</v>
      </c>
      <c r="AF55" s="8">
        <v>8</v>
      </c>
      <c r="AG55" s="9">
        <v>8</v>
      </c>
      <c r="AI55" s="10">
        <v>8</v>
      </c>
      <c r="AJ55" s="11">
        <v>7</v>
      </c>
      <c r="AK55" s="12">
        <v>5</v>
      </c>
      <c r="AL55" s="13">
        <v>9</v>
      </c>
      <c r="AN55" s="6"/>
      <c r="AO55" s="7">
        <v>6</v>
      </c>
      <c r="AP55" s="8">
        <v>6</v>
      </c>
      <c r="AQ55" s="9">
        <v>6</v>
      </c>
      <c r="AS55" s="10"/>
      <c r="AT55" s="11">
        <v>7</v>
      </c>
      <c r="AU55" s="12"/>
      <c r="AV55" s="13"/>
      <c r="AX55" s="6">
        <v>7</v>
      </c>
      <c r="AY55" s="7"/>
      <c r="AZ55" s="8"/>
      <c r="BA55" s="9"/>
      <c r="BC55" s="46">
        <f t="shared" si="2"/>
        <v>219</v>
      </c>
      <c r="BD55" s="47">
        <f>(SUM(BE55,'Run distances (Term 2)'!BI55,'Run distances (Term 3)'!BI55,'Run distances (Term 4)'!BI55))</f>
        <v>153.89999999999998</v>
      </c>
      <c r="BE55" s="47">
        <f t="shared" si="3"/>
        <v>65.7</v>
      </c>
    </row>
    <row r="56" spans="1:57" x14ac:dyDescent="0.25">
      <c r="A56" s="44" t="s">
        <v>238</v>
      </c>
      <c r="B56" s="45">
        <v>9</v>
      </c>
      <c r="C56" s="44" t="s">
        <v>49</v>
      </c>
      <c r="D56" t="s">
        <v>57</v>
      </c>
      <c r="E56" s="10">
        <v>5</v>
      </c>
      <c r="F56" s="11">
        <v>7</v>
      </c>
      <c r="G56" s="12">
        <v>6</v>
      </c>
      <c r="H56" s="13">
        <v>6</v>
      </c>
      <c r="J56" s="6">
        <v>5</v>
      </c>
      <c r="K56" s="7">
        <v>6</v>
      </c>
      <c r="L56" s="8">
        <v>7</v>
      </c>
      <c r="M56" s="9">
        <v>5</v>
      </c>
      <c r="O56" s="10">
        <v>5</v>
      </c>
      <c r="P56" s="11">
        <v>7</v>
      </c>
      <c r="Q56" s="12">
        <v>8</v>
      </c>
      <c r="R56" s="13">
        <v>9</v>
      </c>
      <c r="T56" s="6">
        <v>7</v>
      </c>
      <c r="U56" s="7">
        <v>8</v>
      </c>
      <c r="V56" s="8">
        <v>7</v>
      </c>
      <c r="W56" s="9">
        <v>7</v>
      </c>
      <c r="Y56" s="10">
        <v>6</v>
      </c>
      <c r="Z56" s="11">
        <v>5</v>
      </c>
      <c r="AA56" s="12">
        <v>7</v>
      </c>
      <c r="AB56" s="13"/>
      <c r="AD56" s="6"/>
      <c r="AE56" s="7">
        <v>7</v>
      </c>
      <c r="AF56" s="8">
        <v>9</v>
      </c>
      <c r="AG56" s="9">
        <v>7</v>
      </c>
      <c r="AI56" s="10">
        <v>5</v>
      </c>
      <c r="AJ56" s="11">
        <v>5</v>
      </c>
      <c r="AK56" s="12">
        <v>4</v>
      </c>
      <c r="AL56" s="13">
        <v>4</v>
      </c>
      <c r="AN56" s="6"/>
      <c r="AO56" s="7">
        <v>6</v>
      </c>
      <c r="AP56" s="8">
        <v>5</v>
      </c>
      <c r="AQ56" s="9">
        <v>5</v>
      </c>
      <c r="AS56" s="10"/>
      <c r="AT56" s="11">
        <v>5</v>
      </c>
      <c r="AU56" s="12"/>
      <c r="AV56" s="13"/>
      <c r="AX56" s="6"/>
      <c r="AY56" s="7"/>
      <c r="AZ56" s="8">
        <v>2</v>
      </c>
      <c r="BA56" s="9">
        <v>3</v>
      </c>
      <c r="BC56" s="46">
        <f t="shared" ref="BC56:BC109" si="7">SUM(E56:BA56)</f>
        <v>190</v>
      </c>
      <c r="BD56" s="47">
        <f>(SUM(BE56,'Run distances (Term 2)'!BI56,'Run distances (Term 3)'!BI56,'Run distances (Term 4)'!BI56))</f>
        <v>115.79999999999998</v>
      </c>
      <c r="BE56" s="47">
        <f t="shared" si="3"/>
        <v>57</v>
      </c>
    </row>
    <row r="57" spans="1:57" x14ac:dyDescent="0.25">
      <c r="A57" s="44" t="s">
        <v>237</v>
      </c>
      <c r="B57" s="45">
        <v>8</v>
      </c>
      <c r="C57" s="44" t="s">
        <v>49</v>
      </c>
      <c r="D57" t="s">
        <v>48</v>
      </c>
      <c r="E57" s="10">
        <v>5</v>
      </c>
      <c r="F57" s="11">
        <v>0</v>
      </c>
      <c r="G57" s="12">
        <v>8</v>
      </c>
      <c r="H57" s="13">
        <v>0</v>
      </c>
      <c r="J57" s="6">
        <v>7</v>
      </c>
      <c r="K57" s="7">
        <v>2</v>
      </c>
      <c r="L57" s="8"/>
      <c r="M57" s="9">
        <v>3</v>
      </c>
      <c r="O57" s="10">
        <v>5</v>
      </c>
      <c r="P57" s="11">
        <v>10</v>
      </c>
      <c r="Q57" s="12">
        <v>3</v>
      </c>
      <c r="R57" s="13">
        <v>3</v>
      </c>
      <c r="T57" s="6">
        <v>6</v>
      </c>
      <c r="U57" s="7">
        <v>7</v>
      </c>
      <c r="V57" s="8">
        <v>7</v>
      </c>
      <c r="W57" s="9">
        <v>1</v>
      </c>
      <c r="Y57" s="10"/>
      <c r="Z57" s="11">
        <v>2</v>
      </c>
      <c r="AA57" s="12">
        <v>2</v>
      </c>
      <c r="AB57" s="13"/>
      <c r="AD57" s="6"/>
      <c r="AE57" s="7">
        <v>3</v>
      </c>
      <c r="AF57" s="8">
        <v>1</v>
      </c>
      <c r="AG57" s="9"/>
      <c r="AI57" s="10">
        <v>5</v>
      </c>
      <c r="AJ57" s="11">
        <v>2</v>
      </c>
      <c r="AK57" s="12"/>
      <c r="AL57" s="13">
        <v>1</v>
      </c>
      <c r="AN57" s="6"/>
      <c r="AO57" s="7">
        <v>1</v>
      </c>
      <c r="AP57" s="8">
        <v>1</v>
      </c>
      <c r="AQ57" s="9">
        <v>1</v>
      </c>
      <c r="AS57" s="10"/>
      <c r="AT57" s="11">
        <v>1</v>
      </c>
      <c r="AU57" s="12"/>
      <c r="AV57" s="13"/>
      <c r="AX57" s="6"/>
      <c r="AY57" s="7"/>
      <c r="AZ57" s="8"/>
      <c r="BA57" s="9"/>
      <c r="BC57" s="46">
        <f t="shared" si="7"/>
        <v>87</v>
      </c>
      <c r="BD57" s="47">
        <f>(SUM(BE57,'Run distances (Term 2)'!BI57,'Run distances (Term 3)'!BI57,'Run distances (Term 4)'!BI57))</f>
        <v>42</v>
      </c>
      <c r="BE57" s="47">
        <f t="shared" si="3"/>
        <v>26.099999999999998</v>
      </c>
    </row>
    <row r="58" spans="1:57" x14ac:dyDescent="0.25">
      <c r="A58" s="44" t="s">
        <v>236</v>
      </c>
      <c r="B58" s="45">
        <v>8</v>
      </c>
      <c r="C58" s="44" t="s">
        <v>49</v>
      </c>
      <c r="D58" t="s">
        <v>48</v>
      </c>
      <c r="E58" s="10"/>
      <c r="F58" s="11"/>
      <c r="G58" s="12"/>
      <c r="H58" s="13"/>
      <c r="J58" s="6">
        <v>5</v>
      </c>
      <c r="K58" s="7">
        <v>0</v>
      </c>
      <c r="L58" s="8"/>
      <c r="M58" s="9"/>
      <c r="O58" s="10">
        <v>1</v>
      </c>
      <c r="P58" s="11"/>
      <c r="Q58" s="12"/>
      <c r="R58" s="13">
        <v>4</v>
      </c>
      <c r="T58" s="6"/>
      <c r="U58" s="7">
        <v>1</v>
      </c>
      <c r="V58" s="8">
        <v>1</v>
      </c>
      <c r="W58" s="9">
        <v>3</v>
      </c>
      <c r="Y58" s="10"/>
      <c r="Z58" s="11"/>
      <c r="AA58" s="12"/>
      <c r="AB58" s="13"/>
      <c r="AD58" s="6"/>
      <c r="AE58" s="7">
        <v>1</v>
      </c>
      <c r="AF58" s="8">
        <v>1</v>
      </c>
      <c r="AG58" s="9"/>
      <c r="AI58" s="10"/>
      <c r="AJ58" s="11"/>
      <c r="AK58" s="12"/>
      <c r="AL58" s="13">
        <v>1</v>
      </c>
      <c r="AN58" s="6"/>
      <c r="AO58" s="7"/>
      <c r="AP58" s="8"/>
      <c r="AQ58" s="9"/>
      <c r="AS58" s="10"/>
      <c r="AT58" s="11"/>
      <c r="AU58" s="12"/>
      <c r="AV58" s="13"/>
      <c r="AX58" s="6"/>
      <c r="AY58" s="7"/>
      <c r="AZ58" s="8"/>
      <c r="BA58" s="9"/>
      <c r="BC58" s="46">
        <f t="shared" si="7"/>
        <v>18</v>
      </c>
      <c r="BD58" s="47">
        <f>(SUM(BE58,'Run distances (Term 2)'!BI58,'Run distances (Term 3)'!BI58,'Run distances (Term 4)'!BI58))</f>
        <v>18.599999999999998</v>
      </c>
      <c r="BE58" s="47">
        <f t="shared" si="3"/>
        <v>5.3999999999999995</v>
      </c>
    </row>
    <row r="59" spans="1:57" x14ac:dyDescent="0.25">
      <c r="A59" s="44" t="s">
        <v>235</v>
      </c>
      <c r="B59" s="45">
        <v>8</v>
      </c>
      <c r="C59" s="44" t="s">
        <v>49</v>
      </c>
      <c r="D59" t="s">
        <v>48</v>
      </c>
      <c r="E59" s="10">
        <v>4</v>
      </c>
      <c r="F59" s="11">
        <v>6</v>
      </c>
      <c r="G59" s="12">
        <v>0</v>
      </c>
      <c r="H59" s="13">
        <v>8</v>
      </c>
      <c r="J59" s="6"/>
      <c r="K59" s="7"/>
      <c r="L59" s="8"/>
      <c r="M59" s="9"/>
      <c r="O59" s="10"/>
      <c r="P59" s="11"/>
      <c r="Q59" s="12"/>
      <c r="R59" s="13"/>
      <c r="T59" s="6"/>
      <c r="U59" s="7"/>
      <c r="V59" s="8"/>
      <c r="W59" s="9"/>
      <c r="Y59" s="10"/>
      <c r="Z59" s="11">
        <v>1</v>
      </c>
      <c r="AA59" s="12">
        <v>2</v>
      </c>
      <c r="AB59" s="13"/>
      <c r="AD59" s="6"/>
      <c r="AE59" s="7">
        <v>3</v>
      </c>
      <c r="AF59" s="8">
        <v>2</v>
      </c>
      <c r="AG59" s="9">
        <v>2</v>
      </c>
      <c r="AI59" s="10">
        <v>3</v>
      </c>
      <c r="AJ59" s="11">
        <v>3</v>
      </c>
      <c r="AK59" s="12"/>
      <c r="AL59" s="13"/>
      <c r="AN59" s="6"/>
      <c r="AO59" s="7">
        <v>3</v>
      </c>
      <c r="AP59" s="8">
        <v>2</v>
      </c>
      <c r="AQ59" s="9">
        <v>2</v>
      </c>
      <c r="AS59" s="10"/>
      <c r="AT59" s="11"/>
      <c r="AU59" s="12"/>
      <c r="AV59" s="13"/>
      <c r="AX59" s="6"/>
      <c r="AY59" s="7"/>
      <c r="AZ59" s="8"/>
      <c r="BA59" s="9"/>
      <c r="BC59" s="46">
        <f t="shared" si="7"/>
        <v>41</v>
      </c>
      <c r="BD59" s="47">
        <f>(SUM(BE59,'Run distances (Term 2)'!BI59,'Run distances (Term 3)'!BI59,'Run distances (Term 4)'!BI59))</f>
        <v>12.899999999999999</v>
      </c>
      <c r="BE59" s="47">
        <f t="shared" si="3"/>
        <v>12.299999999999999</v>
      </c>
    </row>
    <row r="60" spans="1:57" x14ac:dyDescent="0.25">
      <c r="A60" s="44" t="s">
        <v>234</v>
      </c>
      <c r="B60" s="45">
        <v>8</v>
      </c>
      <c r="C60" s="44" t="s">
        <v>49</v>
      </c>
      <c r="D60" t="s">
        <v>48</v>
      </c>
      <c r="E60" s="10"/>
      <c r="F60" s="11"/>
      <c r="G60" s="12"/>
      <c r="H60" s="13"/>
      <c r="J60" s="6"/>
      <c r="K60" s="7"/>
      <c r="L60" s="8"/>
      <c r="M60" s="9"/>
      <c r="O60" s="10"/>
      <c r="P60" s="11"/>
      <c r="Q60" s="12"/>
      <c r="R60" s="13"/>
      <c r="T60" s="6"/>
      <c r="U60" s="7"/>
      <c r="V60" s="8"/>
      <c r="W60" s="9">
        <v>1</v>
      </c>
      <c r="Y60" s="10"/>
      <c r="Z60" s="11">
        <v>3</v>
      </c>
      <c r="AA60" s="12">
        <v>3</v>
      </c>
      <c r="AB60" s="13"/>
      <c r="AD60" s="6"/>
      <c r="AE60" s="7">
        <v>3</v>
      </c>
      <c r="AF60" s="8">
        <v>5</v>
      </c>
      <c r="AG60" s="9">
        <v>4</v>
      </c>
      <c r="AI60" s="10"/>
      <c r="AJ60" s="11"/>
      <c r="AK60" s="12"/>
      <c r="AL60" s="13"/>
      <c r="AN60" s="6"/>
      <c r="AO60" s="7">
        <v>3</v>
      </c>
      <c r="AP60" s="8">
        <v>2</v>
      </c>
      <c r="AQ60" s="9">
        <v>3</v>
      </c>
      <c r="AS60" s="10"/>
      <c r="AT60" s="11"/>
      <c r="AU60" s="12"/>
      <c r="AV60" s="13"/>
      <c r="AX60" s="6"/>
      <c r="AY60" s="7"/>
      <c r="AZ60" s="8"/>
      <c r="BA60" s="9"/>
      <c r="BC60" s="46">
        <f t="shared" ref="BC60" si="8">SUM(E60:BA60)</f>
        <v>27</v>
      </c>
      <c r="BD60" s="47">
        <f>(SUM(BE60,'Run distances (Term 2)'!BI60,'Run distances (Term 3)'!BI60,'Run distances (Term 4)'!BI60))</f>
        <v>8.4</v>
      </c>
      <c r="BE60" s="47">
        <f t="shared" si="3"/>
        <v>8.1</v>
      </c>
    </row>
    <row r="61" spans="1:57" x14ac:dyDescent="0.25">
      <c r="A61" s="44" t="s">
        <v>361</v>
      </c>
      <c r="B61" s="45">
        <v>8</v>
      </c>
      <c r="C61" s="44" t="s">
        <v>49</v>
      </c>
      <c r="D61" t="s">
        <v>48</v>
      </c>
      <c r="E61" s="10"/>
      <c r="F61" s="11"/>
      <c r="G61" s="12"/>
      <c r="H61" s="13"/>
      <c r="J61" s="6"/>
      <c r="K61" s="7"/>
      <c r="L61" s="8"/>
      <c r="M61" s="9"/>
      <c r="O61" s="10"/>
      <c r="P61" s="11"/>
      <c r="Q61" s="12"/>
      <c r="R61" s="13"/>
      <c r="T61" s="6"/>
      <c r="U61" s="7"/>
      <c r="V61" s="8"/>
      <c r="W61" s="9"/>
      <c r="Y61" s="10"/>
      <c r="Z61" s="11"/>
      <c r="AA61" s="12"/>
      <c r="AB61" s="13"/>
      <c r="AD61" s="6"/>
      <c r="AE61" s="7"/>
      <c r="AF61" s="8"/>
      <c r="AG61" s="9"/>
      <c r="AI61" s="10"/>
      <c r="AJ61" s="11"/>
      <c r="AK61" s="12"/>
      <c r="AL61" s="13"/>
      <c r="AN61" s="6"/>
      <c r="AO61" s="7"/>
      <c r="AP61" s="8"/>
      <c r="AQ61" s="9">
        <v>1</v>
      </c>
      <c r="AS61" s="10"/>
      <c r="AT61" s="11"/>
      <c r="AU61" s="12"/>
      <c r="AV61" s="13"/>
      <c r="AX61" s="6"/>
      <c r="AY61" s="7"/>
      <c r="AZ61" s="8"/>
      <c r="BA61" s="9"/>
      <c r="BC61" s="46">
        <f t="shared" si="7"/>
        <v>1</v>
      </c>
      <c r="BD61" s="47">
        <f>(SUM(BE61,'Run distances (Term 2)'!BI61,'Run distances (Term 3)'!BI61,'Run distances (Term 4)'!BI61))</f>
        <v>4.2</v>
      </c>
      <c r="BE61" s="47">
        <f t="shared" si="3"/>
        <v>0.3</v>
      </c>
    </row>
    <row r="62" spans="1:57" x14ac:dyDescent="0.25">
      <c r="A62" s="44" t="s">
        <v>233</v>
      </c>
      <c r="B62" s="45">
        <v>9</v>
      </c>
      <c r="C62" s="44" t="s">
        <v>49</v>
      </c>
      <c r="D62" t="s">
        <v>48</v>
      </c>
      <c r="E62" s="10"/>
      <c r="F62" s="11"/>
      <c r="G62" s="12"/>
      <c r="H62" s="13"/>
      <c r="J62" s="6"/>
      <c r="K62" s="7"/>
      <c r="L62" s="8"/>
      <c r="M62" s="9"/>
      <c r="O62" s="10"/>
      <c r="P62" s="11"/>
      <c r="Q62" s="12"/>
      <c r="R62" s="13"/>
      <c r="T62" s="6"/>
      <c r="U62" s="7"/>
      <c r="V62" s="8"/>
      <c r="W62" s="9"/>
      <c r="Y62" s="10"/>
      <c r="Z62" s="11"/>
      <c r="AA62" s="12"/>
      <c r="AB62" s="13"/>
      <c r="AD62" s="6"/>
      <c r="AE62" s="7"/>
      <c r="AF62" s="8"/>
      <c r="AG62" s="9"/>
      <c r="AI62" s="10"/>
      <c r="AJ62" s="11"/>
      <c r="AK62" s="12"/>
      <c r="AL62" s="13"/>
      <c r="AN62" s="6"/>
      <c r="AO62" s="7"/>
      <c r="AP62" s="8"/>
      <c r="AQ62" s="9"/>
      <c r="AS62" s="10"/>
      <c r="AT62" s="11"/>
      <c r="AU62" s="12"/>
      <c r="AV62" s="13"/>
      <c r="AX62" s="6"/>
      <c r="AY62" s="7"/>
      <c r="AZ62" s="8"/>
      <c r="BA62" s="9"/>
      <c r="BC62" s="46">
        <f t="shared" si="7"/>
        <v>0</v>
      </c>
      <c r="BD62" s="47">
        <f>(SUM(BE62,'Run distances (Term 2)'!BI62,'Run distances (Term 3)'!BI62,'Run distances (Term 4)'!BI62))</f>
        <v>0.89999999999999991</v>
      </c>
      <c r="BE62" s="47">
        <f t="shared" si="3"/>
        <v>0</v>
      </c>
    </row>
    <row r="63" spans="1:57" x14ac:dyDescent="0.25">
      <c r="A63" s="44" t="s">
        <v>232</v>
      </c>
      <c r="B63" s="45">
        <v>9</v>
      </c>
      <c r="C63" s="44" t="s">
        <v>49</v>
      </c>
      <c r="D63" t="s">
        <v>48</v>
      </c>
      <c r="E63" s="10"/>
      <c r="F63" s="11"/>
      <c r="G63" s="12"/>
      <c r="H63" s="13"/>
      <c r="J63" s="6"/>
      <c r="K63" s="7"/>
      <c r="L63" s="8"/>
      <c r="M63" s="9"/>
      <c r="O63" s="10"/>
      <c r="P63" s="11"/>
      <c r="Q63" s="12"/>
      <c r="R63" s="13"/>
      <c r="T63" s="6"/>
      <c r="U63" s="7"/>
      <c r="V63" s="8"/>
      <c r="W63" s="9"/>
      <c r="Y63" s="10"/>
      <c r="Z63" s="11"/>
      <c r="AA63" s="12"/>
      <c r="AB63" s="13"/>
      <c r="AD63" s="6"/>
      <c r="AE63" s="7"/>
      <c r="AF63" s="8"/>
      <c r="AG63" s="9"/>
      <c r="AI63" s="10"/>
      <c r="AJ63" s="11"/>
      <c r="AK63" s="12"/>
      <c r="AL63" s="13"/>
      <c r="AN63" s="6"/>
      <c r="AO63" s="7"/>
      <c r="AP63" s="8"/>
      <c r="AQ63" s="9"/>
      <c r="AS63" s="10"/>
      <c r="AT63" s="11"/>
      <c r="AU63" s="12"/>
      <c r="AV63" s="13"/>
      <c r="AX63" s="6"/>
      <c r="AY63" s="7"/>
      <c r="AZ63" s="8"/>
      <c r="BA63" s="9"/>
      <c r="BC63" s="46">
        <f t="shared" si="7"/>
        <v>0</v>
      </c>
      <c r="BD63" s="47">
        <f>(SUM(BE63,'Run distances (Term 2)'!BI63,'Run distances (Term 3)'!BI63,'Run distances (Term 4)'!BI63))</f>
        <v>0</v>
      </c>
      <c r="BE63" s="47">
        <f t="shared" si="3"/>
        <v>0</v>
      </c>
    </row>
    <row r="64" spans="1:57" x14ac:dyDescent="0.25">
      <c r="A64" s="44" t="s">
        <v>227</v>
      </c>
      <c r="B64" s="45">
        <v>9</v>
      </c>
      <c r="C64" s="44" t="s">
        <v>49</v>
      </c>
      <c r="D64" t="s">
        <v>48</v>
      </c>
      <c r="E64" s="10"/>
      <c r="F64" s="11"/>
      <c r="G64" s="12"/>
      <c r="H64" s="13"/>
      <c r="J64" s="6">
        <v>5</v>
      </c>
      <c r="K64" s="7">
        <v>2</v>
      </c>
      <c r="L64" s="8"/>
      <c r="M64" s="9">
        <v>2</v>
      </c>
      <c r="O64" s="10"/>
      <c r="P64" s="11"/>
      <c r="Q64" s="12">
        <v>5</v>
      </c>
      <c r="R64" s="13">
        <v>1</v>
      </c>
      <c r="T64" s="6">
        <v>2</v>
      </c>
      <c r="U64" s="7">
        <v>2</v>
      </c>
      <c r="V64" s="8">
        <v>2</v>
      </c>
      <c r="W64" s="9">
        <v>4</v>
      </c>
      <c r="Y64" s="10"/>
      <c r="Z64" s="11">
        <v>3</v>
      </c>
      <c r="AA64" s="12">
        <v>3</v>
      </c>
      <c r="AB64" s="13"/>
      <c r="AD64" s="6"/>
      <c r="AE64" s="7">
        <v>3</v>
      </c>
      <c r="AF64" s="8">
        <v>3</v>
      </c>
      <c r="AG64" s="9"/>
      <c r="AI64" s="10">
        <v>1</v>
      </c>
      <c r="AJ64" s="11">
        <v>1</v>
      </c>
      <c r="AK64" s="12"/>
      <c r="AL64" s="13">
        <v>1</v>
      </c>
      <c r="AN64" s="6"/>
      <c r="AO64" s="7"/>
      <c r="AP64" s="8">
        <v>1</v>
      </c>
      <c r="AQ64" s="9">
        <v>2</v>
      </c>
      <c r="AS64" s="10"/>
      <c r="AT64" s="11">
        <v>1</v>
      </c>
      <c r="AU64" s="12"/>
      <c r="AV64" s="13"/>
      <c r="AX64" s="6"/>
      <c r="AY64" s="7"/>
      <c r="AZ64" s="8"/>
      <c r="BA64" s="9"/>
      <c r="BC64" s="46">
        <f t="shared" si="7"/>
        <v>44</v>
      </c>
      <c r="BD64" s="47">
        <f>(SUM(BE64,'Run distances (Term 2)'!BI64,'Run distances (Term 3)'!BI64,'Run distances (Term 4)'!BI64))</f>
        <v>24</v>
      </c>
      <c r="BE64" s="47">
        <f t="shared" si="3"/>
        <v>13.2</v>
      </c>
    </row>
    <row r="65" spans="1:57" x14ac:dyDescent="0.25">
      <c r="A65" s="44" t="s">
        <v>226</v>
      </c>
      <c r="B65" s="45">
        <v>1</v>
      </c>
      <c r="C65" s="44" t="s">
        <v>49</v>
      </c>
      <c r="D65" t="s">
        <v>62</v>
      </c>
      <c r="E65" s="10"/>
      <c r="F65" s="11"/>
      <c r="G65" s="12"/>
      <c r="H65" s="13"/>
      <c r="J65" s="6">
        <v>0</v>
      </c>
      <c r="K65" s="7">
        <v>0</v>
      </c>
      <c r="L65" s="8">
        <v>1</v>
      </c>
      <c r="M65" s="9">
        <v>3</v>
      </c>
      <c r="O65" s="10"/>
      <c r="P65" s="11"/>
      <c r="Q65" s="12"/>
      <c r="R65" s="13"/>
      <c r="T65" s="6"/>
      <c r="U65" s="7"/>
      <c r="V65" s="8"/>
      <c r="W65" s="9"/>
      <c r="Y65" s="10"/>
      <c r="Z65" s="11"/>
      <c r="AA65" s="12"/>
      <c r="AB65" s="13"/>
      <c r="AD65" s="6"/>
      <c r="AE65" s="7"/>
      <c r="AF65" s="8"/>
      <c r="AG65" s="9"/>
      <c r="AI65" s="10"/>
      <c r="AJ65" s="11"/>
      <c r="AK65" s="12"/>
      <c r="AL65" s="13"/>
      <c r="AN65" s="6"/>
      <c r="AO65" s="7"/>
      <c r="AP65" s="8"/>
      <c r="AQ65" s="9"/>
      <c r="AS65" s="10"/>
      <c r="AT65" s="11"/>
      <c r="AU65" s="12"/>
      <c r="AV65" s="13"/>
      <c r="AX65" s="6"/>
      <c r="AY65" s="7"/>
      <c r="AZ65" s="8"/>
      <c r="BA65" s="9">
        <v>1</v>
      </c>
      <c r="BC65" s="46">
        <f t="shared" si="7"/>
        <v>5</v>
      </c>
      <c r="BD65" s="47">
        <f>(SUM(BE65,'Run distances (Term 2)'!BI65,'Run distances (Term 3)'!BI65,'Run distances (Term 4)'!BI65))</f>
        <v>6.3</v>
      </c>
      <c r="BE65" s="47">
        <f t="shared" si="3"/>
        <v>1.5</v>
      </c>
    </row>
    <row r="66" spans="1:57" x14ac:dyDescent="0.25">
      <c r="A66" s="44" t="s">
        <v>225</v>
      </c>
      <c r="B66" s="45">
        <v>1</v>
      </c>
      <c r="C66" s="44" t="s">
        <v>49</v>
      </c>
      <c r="D66" t="s">
        <v>62</v>
      </c>
      <c r="E66" s="10"/>
      <c r="F66" s="11"/>
      <c r="G66" s="12"/>
      <c r="H66" s="13"/>
      <c r="J66" s="6"/>
      <c r="K66" s="7"/>
      <c r="L66" s="8"/>
      <c r="M66" s="9"/>
      <c r="O66" s="10"/>
      <c r="P66" s="11"/>
      <c r="Q66" s="12"/>
      <c r="R66" s="13"/>
      <c r="T66" s="6"/>
      <c r="U66" s="7"/>
      <c r="V66" s="8"/>
      <c r="W66" s="9"/>
      <c r="Y66" s="10"/>
      <c r="Z66" s="11"/>
      <c r="AA66" s="12"/>
      <c r="AB66" s="13"/>
      <c r="AD66" s="6"/>
      <c r="AE66" s="7"/>
      <c r="AF66" s="8"/>
      <c r="AG66" s="9"/>
      <c r="AI66" s="10"/>
      <c r="AJ66" s="11"/>
      <c r="AK66" s="12"/>
      <c r="AL66" s="13"/>
      <c r="AN66" s="6"/>
      <c r="AO66" s="7"/>
      <c r="AP66" s="8"/>
      <c r="AQ66" s="9"/>
      <c r="AS66" s="10"/>
      <c r="AT66" s="11"/>
      <c r="AU66" s="12"/>
      <c r="AV66" s="13"/>
      <c r="AX66" s="6"/>
      <c r="AY66" s="7"/>
      <c r="AZ66" s="8"/>
      <c r="BA66" s="9"/>
      <c r="BC66" s="46">
        <f t="shared" si="7"/>
        <v>0</v>
      </c>
      <c r="BD66" s="47">
        <f>(SUM(BE66,'Run distances (Term 2)'!BI66,'Run distances (Term 3)'!BI66,'Run distances (Term 4)'!BI66))</f>
        <v>5.0999999999999996</v>
      </c>
      <c r="BE66" s="47">
        <f t="shared" si="3"/>
        <v>0</v>
      </c>
    </row>
    <row r="67" spans="1:57" x14ac:dyDescent="0.25">
      <c r="A67" s="44" t="s">
        <v>414</v>
      </c>
      <c r="B67" s="45">
        <v>1</v>
      </c>
      <c r="C67" s="44" t="s">
        <v>49</v>
      </c>
      <c r="E67" s="10"/>
      <c r="F67" s="11"/>
      <c r="G67" s="12"/>
      <c r="H67" s="13"/>
      <c r="J67" s="6"/>
      <c r="K67" s="7"/>
      <c r="L67" s="8"/>
      <c r="M67" s="9"/>
      <c r="O67" s="10"/>
      <c r="P67" s="11"/>
      <c r="Q67" s="12"/>
      <c r="R67" s="13"/>
      <c r="T67" s="6"/>
      <c r="U67" s="7"/>
      <c r="V67" s="8"/>
      <c r="W67" s="9"/>
      <c r="Y67" s="10"/>
      <c r="Z67" s="11"/>
      <c r="AA67" s="12"/>
      <c r="AB67" s="13"/>
      <c r="AD67" s="6"/>
      <c r="AE67" s="7"/>
      <c r="AF67" s="8"/>
      <c r="AG67" s="9"/>
      <c r="AI67" s="10"/>
      <c r="AJ67" s="11"/>
      <c r="AK67" s="12"/>
      <c r="AL67" s="13"/>
      <c r="AN67" s="6"/>
      <c r="AO67" s="7"/>
      <c r="AP67" s="8"/>
      <c r="AQ67" s="9"/>
      <c r="AS67" s="10"/>
      <c r="AT67" s="11"/>
      <c r="AU67" s="12"/>
      <c r="AV67" s="13"/>
      <c r="AX67" s="6"/>
      <c r="AY67" s="7"/>
      <c r="AZ67" s="8"/>
      <c r="BA67" s="9"/>
      <c r="BC67" s="46">
        <f t="shared" si="7"/>
        <v>0</v>
      </c>
      <c r="BD67" s="47">
        <f>(SUM(BE67,'Run distances (Term 2)'!BI67,'Run distances (Term 3)'!BI67,'Run distances (Term 4)'!BI67))</f>
        <v>3.3</v>
      </c>
      <c r="BE67" s="47">
        <f t="shared" si="3"/>
        <v>0</v>
      </c>
    </row>
    <row r="68" spans="1:57" x14ac:dyDescent="0.25">
      <c r="A68" s="44" t="s">
        <v>224</v>
      </c>
      <c r="B68" s="44" t="s">
        <v>53</v>
      </c>
      <c r="C68" s="44" t="s">
        <v>49</v>
      </c>
      <c r="D68" t="s">
        <v>54</v>
      </c>
      <c r="E68" s="10"/>
      <c r="F68" s="11"/>
      <c r="G68" s="12"/>
      <c r="H68" s="13"/>
      <c r="J68" s="6"/>
      <c r="K68" s="7"/>
      <c r="L68" s="8"/>
      <c r="M68" s="9"/>
      <c r="O68" s="10"/>
      <c r="P68" s="11">
        <v>6</v>
      </c>
      <c r="Q68" s="12">
        <v>6</v>
      </c>
      <c r="R68" s="13"/>
      <c r="T68" s="6">
        <v>1</v>
      </c>
      <c r="U68" s="7">
        <v>1</v>
      </c>
      <c r="V68" s="8">
        <v>2</v>
      </c>
      <c r="W68" s="9">
        <v>4</v>
      </c>
      <c r="Y68" s="10">
        <v>2</v>
      </c>
      <c r="Z68" s="11">
        <v>2</v>
      </c>
      <c r="AA68" s="12">
        <v>3</v>
      </c>
      <c r="AB68" s="13"/>
      <c r="AD68" s="6"/>
      <c r="AE68" s="7">
        <v>4</v>
      </c>
      <c r="AF68" s="8"/>
      <c r="AG68" s="9"/>
      <c r="AI68" s="10"/>
      <c r="AJ68" s="11">
        <v>3</v>
      </c>
      <c r="AK68" s="12">
        <v>1</v>
      </c>
      <c r="AL68" s="13">
        <v>2</v>
      </c>
      <c r="AN68" s="6"/>
      <c r="AO68" s="7">
        <v>4</v>
      </c>
      <c r="AP68" s="8">
        <v>1</v>
      </c>
      <c r="AQ68" s="9"/>
      <c r="AS68" s="10"/>
      <c r="AT68" s="11"/>
      <c r="AU68" s="12"/>
      <c r="AV68" s="13"/>
      <c r="AX68" s="6">
        <v>4</v>
      </c>
      <c r="AY68" s="7"/>
      <c r="AZ68" s="8"/>
      <c r="BA68" s="9">
        <v>1</v>
      </c>
      <c r="BC68" s="46">
        <f t="shared" si="7"/>
        <v>47</v>
      </c>
      <c r="BD68" s="47">
        <f>(SUM(BE68,'Run distances (Term 2)'!BI68,'Run distances (Term 3)'!BI68,'Run distances (Term 4)'!BI68))</f>
        <v>31.8</v>
      </c>
      <c r="BE68" s="47">
        <f t="shared" si="3"/>
        <v>14.1</v>
      </c>
    </row>
    <row r="69" spans="1:57" x14ac:dyDescent="0.25">
      <c r="A69" s="44" t="s">
        <v>410</v>
      </c>
      <c r="B69" s="44" t="s">
        <v>53</v>
      </c>
      <c r="C69" s="44" t="s">
        <v>49</v>
      </c>
      <c r="D69" t="s">
        <v>54</v>
      </c>
      <c r="E69" s="10"/>
      <c r="F69" s="11"/>
      <c r="G69" s="12"/>
      <c r="H69" s="13"/>
      <c r="J69" s="6"/>
      <c r="K69" s="7"/>
      <c r="L69" s="8"/>
      <c r="M69" s="9"/>
      <c r="O69" s="10">
        <v>2</v>
      </c>
      <c r="P69" s="11">
        <v>8</v>
      </c>
      <c r="Q69" s="12">
        <v>4</v>
      </c>
      <c r="R69" s="13">
        <v>4</v>
      </c>
      <c r="T69" s="6">
        <v>3</v>
      </c>
      <c r="U69" s="7">
        <v>2</v>
      </c>
      <c r="V69" s="8">
        <v>2</v>
      </c>
      <c r="W69" s="9"/>
      <c r="Y69" s="10">
        <v>3</v>
      </c>
      <c r="Z69" s="11">
        <v>3</v>
      </c>
      <c r="AA69" s="12"/>
      <c r="AB69" s="13"/>
      <c r="AD69" s="6"/>
      <c r="AE69" s="7">
        <v>5</v>
      </c>
      <c r="AF69" s="8"/>
      <c r="AG69" s="9"/>
      <c r="AI69" s="10">
        <v>4</v>
      </c>
      <c r="AJ69" s="11">
        <v>3</v>
      </c>
      <c r="AK69" s="12"/>
      <c r="AL69" s="13">
        <v>2</v>
      </c>
      <c r="AN69" s="6"/>
      <c r="AO69" s="7">
        <v>4</v>
      </c>
      <c r="AP69" s="8"/>
      <c r="AQ69" s="9"/>
      <c r="AS69" s="10"/>
      <c r="AT69" s="11">
        <v>2</v>
      </c>
      <c r="AU69" s="12"/>
      <c r="AV69" s="13"/>
      <c r="AX69" s="6">
        <v>1</v>
      </c>
      <c r="AY69" s="7"/>
      <c r="AZ69" s="8"/>
      <c r="BA69" s="9">
        <v>1</v>
      </c>
      <c r="BC69" s="46">
        <f t="shared" ref="BC69:BC70" si="9">SUM(E69:BA69)</f>
        <v>53</v>
      </c>
      <c r="BD69" s="47">
        <f>(SUM(BE69,'Run distances (Term 2)'!BI69,'Run distances (Term 3)'!BI69,'Run distances (Term 4)'!BI69))</f>
        <v>38.4</v>
      </c>
      <c r="BE69" s="47">
        <f t="shared" si="3"/>
        <v>15.899999999999999</v>
      </c>
    </row>
    <row r="70" spans="1:57" x14ac:dyDescent="0.25">
      <c r="A70" s="44" t="s">
        <v>411</v>
      </c>
      <c r="B70" s="44" t="s">
        <v>53</v>
      </c>
      <c r="C70" s="44" t="s">
        <v>49</v>
      </c>
      <c r="D70" t="s">
        <v>54</v>
      </c>
      <c r="E70" s="10"/>
      <c r="F70" s="11"/>
      <c r="G70" s="12"/>
      <c r="H70" s="13"/>
      <c r="J70" s="6"/>
      <c r="K70" s="7"/>
      <c r="L70" s="8"/>
      <c r="M70" s="9"/>
      <c r="O70" s="10"/>
      <c r="P70" s="11"/>
      <c r="Q70" s="12"/>
      <c r="R70" s="13"/>
      <c r="T70" s="6"/>
      <c r="U70" s="7">
        <v>2</v>
      </c>
      <c r="V70" s="8"/>
      <c r="W70" s="9"/>
      <c r="Y70" s="10"/>
      <c r="Z70" s="11"/>
      <c r="AA70" s="12"/>
      <c r="AB70" s="13"/>
      <c r="AD70" s="6"/>
      <c r="AE70" s="7"/>
      <c r="AF70" s="8"/>
      <c r="AG70" s="9"/>
      <c r="AI70" s="10">
        <v>1</v>
      </c>
      <c r="AJ70" s="11"/>
      <c r="AK70" s="12"/>
      <c r="AL70" s="13"/>
      <c r="AN70" s="6"/>
      <c r="AO70" s="7"/>
      <c r="AP70" s="8"/>
      <c r="AQ70" s="9"/>
      <c r="AS70" s="10"/>
      <c r="AT70" s="11"/>
      <c r="AU70" s="12"/>
      <c r="AV70" s="13"/>
      <c r="AX70" s="6"/>
      <c r="AY70" s="7"/>
      <c r="AZ70" s="8"/>
      <c r="BA70" s="9">
        <v>3</v>
      </c>
      <c r="BC70" s="46">
        <f t="shared" si="9"/>
        <v>6</v>
      </c>
      <c r="BD70" s="47">
        <f>(SUM(BE70,'Run distances (Term 2)'!BI70,'Run distances (Term 3)'!BI70,'Run distances (Term 4)'!BI70))</f>
        <v>6.8999999999999995</v>
      </c>
      <c r="BE70" s="47">
        <f t="shared" si="3"/>
        <v>1.7999999999999998</v>
      </c>
    </row>
    <row r="71" spans="1:57" x14ac:dyDescent="0.25">
      <c r="A71" s="44" t="s">
        <v>412</v>
      </c>
      <c r="B71" s="44" t="s">
        <v>53</v>
      </c>
      <c r="C71" s="44" t="s">
        <v>49</v>
      </c>
      <c r="D71" t="s">
        <v>54</v>
      </c>
      <c r="E71" s="10"/>
      <c r="F71" s="11"/>
      <c r="G71" s="12"/>
      <c r="H71" s="13"/>
      <c r="J71" s="6"/>
      <c r="K71" s="7"/>
      <c r="L71" s="8"/>
      <c r="M71" s="9"/>
      <c r="O71" s="10"/>
      <c r="P71" s="11"/>
      <c r="Q71" s="12"/>
      <c r="R71" s="13"/>
      <c r="T71" s="6"/>
      <c r="U71" s="7"/>
      <c r="V71" s="8"/>
      <c r="W71" s="9"/>
      <c r="Y71" s="10"/>
      <c r="Z71" s="11">
        <v>1</v>
      </c>
      <c r="AA71" s="12">
        <v>1</v>
      </c>
      <c r="AB71" s="13"/>
      <c r="AD71" s="6"/>
      <c r="AE71" s="7"/>
      <c r="AF71" s="8"/>
      <c r="AG71" s="9"/>
      <c r="AI71" s="10"/>
      <c r="AJ71" s="11"/>
      <c r="AK71" s="12"/>
      <c r="AL71" s="13"/>
      <c r="AN71" s="6"/>
      <c r="AO71" s="7"/>
      <c r="AP71" s="8"/>
      <c r="AQ71" s="9"/>
      <c r="AS71" s="10"/>
      <c r="AT71" s="11"/>
      <c r="AU71" s="12"/>
      <c r="AV71" s="13"/>
      <c r="AX71" s="6"/>
      <c r="AY71" s="7"/>
      <c r="AZ71" s="8"/>
      <c r="BA71" s="9"/>
      <c r="BC71" s="46">
        <f t="shared" si="7"/>
        <v>2</v>
      </c>
      <c r="BD71" s="47">
        <f>(SUM(BE71,'Run distances (Term 2)'!BI71,'Run distances (Term 3)'!BI71,'Run distances (Term 4)'!BI71))</f>
        <v>0.89999999999999991</v>
      </c>
      <c r="BE71" s="47">
        <f t="shared" si="3"/>
        <v>0.6</v>
      </c>
    </row>
    <row r="72" spans="1:57" x14ac:dyDescent="0.25">
      <c r="A72" s="44" t="s">
        <v>220</v>
      </c>
      <c r="B72" s="45">
        <v>3</v>
      </c>
      <c r="C72" s="44" t="s">
        <v>49</v>
      </c>
      <c r="D72" t="s">
        <v>56</v>
      </c>
      <c r="E72" s="10"/>
      <c r="F72" s="11"/>
      <c r="G72" s="12"/>
      <c r="H72" s="13"/>
      <c r="J72" s="6">
        <v>0</v>
      </c>
      <c r="K72" s="7">
        <v>4</v>
      </c>
      <c r="L72" s="8">
        <v>1</v>
      </c>
      <c r="M72" s="9">
        <v>3</v>
      </c>
      <c r="O72" s="10"/>
      <c r="P72" s="11">
        <v>2</v>
      </c>
      <c r="Q72" s="12"/>
      <c r="R72" s="13"/>
      <c r="T72" s="6"/>
      <c r="U72" s="7"/>
      <c r="V72" s="8"/>
      <c r="W72" s="9">
        <v>3</v>
      </c>
      <c r="Y72" s="10">
        <v>5</v>
      </c>
      <c r="Z72" s="11"/>
      <c r="AA72" s="12"/>
      <c r="AB72" s="13"/>
      <c r="AD72" s="6"/>
      <c r="AE72" s="7">
        <v>4</v>
      </c>
      <c r="AF72" s="8"/>
      <c r="AG72" s="9"/>
      <c r="AI72" s="10">
        <v>3</v>
      </c>
      <c r="AJ72" s="11"/>
      <c r="AK72" s="12"/>
      <c r="AL72" s="13"/>
      <c r="AN72" s="6"/>
      <c r="AO72" s="7"/>
      <c r="AP72" s="8"/>
      <c r="AQ72" s="9"/>
      <c r="AS72" s="10"/>
      <c r="AT72" s="11"/>
      <c r="AU72" s="12"/>
      <c r="AV72" s="13"/>
      <c r="AX72" s="6">
        <v>4</v>
      </c>
      <c r="AY72" s="7"/>
      <c r="AZ72" s="8">
        <v>4</v>
      </c>
      <c r="BA72" s="9"/>
      <c r="BC72" s="46">
        <f t="shared" si="7"/>
        <v>33</v>
      </c>
      <c r="BD72" s="47">
        <f>(SUM(BE72,'Run distances (Term 2)'!BI72,'Run distances (Term 3)'!BI72,'Run distances (Term 4)'!BI72))</f>
        <v>51.599999999999994</v>
      </c>
      <c r="BE72" s="47">
        <f t="shared" si="3"/>
        <v>9.9</v>
      </c>
    </row>
    <row r="73" spans="1:57" x14ac:dyDescent="0.25">
      <c r="A73" s="44" t="s">
        <v>426</v>
      </c>
      <c r="B73" s="45"/>
      <c r="C73" s="44" t="s">
        <v>49</v>
      </c>
      <c r="E73" s="10"/>
      <c r="F73" s="11"/>
      <c r="G73" s="12"/>
      <c r="H73" s="13"/>
      <c r="J73" s="6"/>
      <c r="K73" s="7"/>
      <c r="L73" s="8"/>
      <c r="M73" s="9"/>
      <c r="O73" s="10"/>
      <c r="P73" s="11"/>
      <c r="Q73" s="12"/>
      <c r="R73" s="13"/>
      <c r="T73" s="6"/>
      <c r="U73" s="7"/>
      <c r="V73" s="8"/>
      <c r="W73" s="9"/>
      <c r="Y73" s="10"/>
      <c r="Z73" s="11"/>
      <c r="AA73" s="12"/>
      <c r="AB73" s="13"/>
      <c r="AD73" s="6"/>
      <c r="AE73" s="7"/>
      <c r="AF73" s="8"/>
      <c r="AG73" s="9"/>
      <c r="AI73" s="10"/>
      <c r="AJ73" s="11"/>
      <c r="AK73" s="12"/>
      <c r="AL73" s="13"/>
      <c r="AN73" s="6"/>
      <c r="AO73" s="7"/>
      <c r="AP73" s="8"/>
      <c r="AQ73" s="9"/>
      <c r="AS73" s="10"/>
      <c r="AT73" s="11"/>
      <c r="AU73" s="12"/>
      <c r="AV73" s="13"/>
      <c r="AX73" s="6"/>
      <c r="AY73" s="7"/>
      <c r="AZ73" s="8"/>
      <c r="BA73" s="9"/>
      <c r="BC73" s="46">
        <f t="shared" si="7"/>
        <v>0</v>
      </c>
      <c r="BD73" s="47">
        <f>(SUM(BE73,'Run distances (Term 2)'!BI73,'Run distances (Term 3)'!BI73,'Run distances (Term 4)'!BI73))</f>
        <v>4.2</v>
      </c>
      <c r="BE73" s="47">
        <f t="shared" si="3"/>
        <v>0</v>
      </c>
    </row>
    <row r="74" spans="1:57" x14ac:dyDescent="0.25">
      <c r="A74" s="44" t="s">
        <v>425</v>
      </c>
      <c r="B74" s="45"/>
      <c r="C74" s="44" t="s">
        <v>49</v>
      </c>
      <c r="E74" s="10"/>
      <c r="F74" s="11"/>
      <c r="G74" s="12"/>
      <c r="H74" s="13"/>
      <c r="J74" s="6"/>
      <c r="K74" s="7"/>
      <c r="L74" s="8"/>
      <c r="M74" s="9"/>
      <c r="O74" s="10"/>
      <c r="P74" s="11"/>
      <c r="Q74" s="12"/>
      <c r="R74" s="13"/>
      <c r="T74" s="6"/>
      <c r="U74" s="7"/>
      <c r="V74" s="8"/>
      <c r="W74" s="9"/>
      <c r="Y74" s="10"/>
      <c r="Z74" s="11"/>
      <c r="AA74" s="12"/>
      <c r="AB74" s="13"/>
      <c r="AD74" s="6"/>
      <c r="AE74" s="7"/>
      <c r="AF74" s="8"/>
      <c r="AG74" s="9"/>
      <c r="AI74" s="10"/>
      <c r="AJ74" s="11"/>
      <c r="AK74" s="12"/>
      <c r="AL74" s="13"/>
      <c r="AN74" s="6"/>
      <c r="AO74" s="7"/>
      <c r="AP74" s="8"/>
      <c r="AQ74" s="9"/>
      <c r="AS74" s="10"/>
      <c r="AT74" s="11"/>
      <c r="AU74" s="12"/>
      <c r="AV74" s="13"/>
      <c r="AX74" s="6"/>
      <c r="AY74" s="7"/>
      <c r="AZ74" s="8"/>
      <c r="BA74" s="9"/>
      <c r="BC74" s="46">
        <f t="shared" si="7"/>
        <v>0</v>
      </c>
      <c r="BD74" s="47">
        <f>(SUM(BE74,'Run distances (Term 2)'!BI74,'Run distances (Term 3)'!BI74,'Run distances (Term 4)'!BI74))</f>
        <v>0.89999999999999991</v>
      </c>
      <c r="BE74" s="47">
        <f t="shared" si="3"/>
        <v>0</v>
      </c>
    </row>
    <row r="75" spans="1:57" x14ac:dyDescent="0.25">
      <c r="A75" s="44" t="s">
        <v>427</v>
      </c>
      <c r="B75" s="45"/>
      <c r="C75" s="44" t="s">
        <v>49</v>
      </c>
      <c r="E75" s="10"/>
      <c r="F75" s="11"/>
      <c r="G75" s="12"/>
      <c r="H75" s="13"/>
      <c r="J75" s="6"/>
      <c r="K75" s="7"/>
      <c r="L75" s="8"/>
      <c r="M75" s="9"/>
      <c r="O75" s="10"/>
      <c r="P75" s="11"/>
      <c r="Q75" s="12"/>
      <c r="R75" s="13"/>
      <c r="T75" s="6"/>
      <c r="U75" s="7"/>
      <c r="V75" s="8"/>
      <c r="W75" s="9"/>
      <c r="Y75" s="10"/>
      <c r="Z75" s="11"/>
      <c r="AA75" s="12"/>
      <c r="AB75" s="13"/>
      <c r="AD75" s="6"/>
      <c r="AE75" s="7"/>
      <c r="AF75" s="8"/>
      <c r="AG75" s="9"/>
      <c r="AI75" s="10"/>
      <c r="AJ75" s="11"/>
      <c r="AK75" s="12"/>
      <c r="AL75" s="13"/>
      <c r="AN75" s="6"/>
      <c r="AO75" s="7"/>
      <c r="AP75" s="8"/>
      <c r="AQ75" s="9"/>
      <c r="AS75" s="10"/>
      <c r="AT75" s="11"/>
      <c r="AU75" s="12"/>
      <c r="AV75" s="13"/>
      <c r="AX75" s="6"/>
      <c r="AY75" s="7"/>
      <c r="AZ75" s="8"/>
      <c r="BA75" s="9"/>
      <c r="BC75" s="46">
        <f t="shared" si="7"/>
        <v>0</v>
      </c>
      <c r="BD75" s="47">
        <f>(SUM(BE75,'Run distances (Term 2)'!BI75,'Run distances (Term 3)'!BI75,'Run distances (Term 4)'!BI75))</f>
        <v>2.4</v>
      </c>
      <c r="BE75" s="47">
        <f t="shared" si="3"/>
        <v>0</v>
      </c>
    </row>
    <row r="76" spans="1:57" x14ac:dyDescent="0.25">
      <c r="A76" s="44" t="s">
        <v>428</v>
      </c>
      <c r="B76" s="45"/>
      <c r="C76" s="44" t="s">
        <v>49</v>
      </c>
      <c r="E76" s="10"/>
      <c r="F76" s="11"/>
      <c r="G76" s="12"/>
      <c r="H76" s="13"/>
      <c r="J76" s="6"/>
      <c r="K76" s="7"/>
      <c r="L76" s="8"/>
      <c r="M76" s="9"/>
      <c r="O76" s="10"/>
      <c r="P76" s="11"/>
      <c r="Q76" s="12"/>
      <c r="R76" s="13"/>
      <c r="T76" s="6"/>
      <c r="U76" s="7"/>
      <c r="V76" s="8"/>
      <c r="W76" s="9"/>
      <c r="Y76" s="10"/>
      <c r="Z76" s="11"/>
      <c r="AA76" s="12"/>
      <c r="AB76" s="13"/>
      <c r="AD76" s="6"/>
      <c r="AE76" s="7"/>
      <c r="AF76" s="8"/>
      <c r="AG76" s="9"/>
      <c r="AI76" s="10"/>
      <c r="AJ76" s="11"/>
      <c r="AK76" s="12"/>
      <c r="AL76" s="13"/>
      <c r="AN76" s="6"/>
      <c r="AO76" s="7"/>
      <c r="AP76" s="8"/>
      <c r="AQ76" s="9"/>
      <c r="AS76" s="10"/>
      <c r="AT76" s="11"/>
      <c r="AU76" s="12"/>
      <c r="AV76" s="13"/>
      <c r="AX76" s="6"/>
      <c r="AY76" s="7"/>
      <c r="AZ76" s="8"/>
      <c r="BA76" s="9"/>
      <c r="BC76" s="46">
        <f t="shared" si="7"/>
        <v>0</v>
      </c>
      <c r="BD76" s="47">
        <f>(SUM(BE76,'Run distances (Term 2)'!BI76,'Run distances (Term 3)'!BI76,'Run distances (Term 4)'!BI76))</f>
        <v>0.3</v>
      </c>
      <c r="BE76" s="47">
        <f t="shared" si="3"/>
        <v>0</v>
      </c>
    </row>
    <row r="77" spans="1:57" x14ac:dyDescent="0.25">
      <c r="A77" s="44" t="s">
        <v>420</v>
      </c>
      <c r="B77" s="45" t="s">
        <v>53</v>
      </c>
      <c r="C77" s="44" t="s">
        <v>49</v>
      </c>
      <c r="E77" s="10"/>
      <c r="F77" s="11"/>
      <c r="G77" s="12"/>
      <c r="H77" s="13"/>
      <c r="J77" s="6"/>
      <c r="K77" s="7"/>
      <c r="L77" s="8"/>
      <c r="M77" s="9"/>
      <c r="O77" s="10"/>
      <c r="P77" s="11"/>
      <c r="Q77" s="12"/>
      <c r="R77" s="13"/>
      <c r="T77" s="6"/>
      <c r="U77" s="7"/>
      <c r="V77" s="8"/>
      <c r="W77" s="9"/>
      <c r="Y77" s="10"/>
      <c r="Z77" s="11"/>
      <c r="AA77" s="12"/>
      <c r="AB77" s="13"/>
      <c r="AD77" s="6"/>
      <c r="AE77" s="7"/>
      <c r="AF77" s="8"/>
      <c r="AG77" s="9"/>
      <c r="AI77" s="10"/>
      <c r="AJ77" s="11"/>
      <c r="AK77" s="12"/>
      <c r="AL77" s="13"/>
      <c r="AN77" s="6"/>
      <c r="AO77" s="7"/>
      <c r="AP77" s="8"/>
      <c r="AQ77" s="9"/>
      <c r="AS77" s="10"/>
      <c r="AT77" s="11"/>
      <c r="AU77" s="12"/>
      <c r="AV77" s="13"/>
      <c r="AX77" s="6"/>
      <c r="AY77" s="7"/>
      <c r="AZ77" s="8"/>
      <c r="BA77" s="9"/>
      <c r="BC77" s="46">
        <f t="shared" si="7"/>
        <v>0</v>
      </c>
      <c r="BD77" s="47">
        <f>(SUM(BE77,'Run distances (Term 2)'!BI77,'Run distances (Term 3)'!BI77,'Run distances (Term 4)'!BI77))</f>
        <v>1.7999999999999998</v>
      </c>
      <c r="BE77" s="47">
        <f t="shared" si="3"/>
        <v>0</v>
      </c>
    </row>
    <row r="78" spans="1:57" x14ac:dyDescent="0.25">
      <c r="A78" s="44" t="s">
        <v>415</v>
      </c>
      <c r="B78" s="45" t="s">
        <v>335</v>
      </c>
      <c r="C78" s="44" t="s">
        <v>49</v>
      </c>
      <c r="E78" s="10"/>
      <c r="F78" s="11"/>
      <c r="G78" s="12"/>
      <c r="H78" s="13"/>
      <c r="J78" s="6">
        <v>0</v>
      </c>
      <c r="K78" s="7"/>
      <c r="L78" s="8"/>
      <c r="M78" s="9"/>
      <c r="O78" s="10"/>
      <c r="P78" s="11"/>
      <c r="Q78" s="12"/>
      <c r="R78" s="13"/>
      <c r="T78" s="6"/>
      <c r="U78" s="7"/>
      <c r="V78" s="8"/>
      <c r="W78" s="9"/>
      <c r="Y78" s="10"/>
      <c r="Z78" s="11"/>
      <c r="AA78" s="12"/>
      <c r="AB78" s="13"/>
      <c r="AD78" s="6"/>
      <c r="AE78" s="7"/>
      <c r="AF78" s="8"/>
      <c r="AG78" s="9"/>
      <c r="AI78" s="10"/>
      <c r="AJ78" s="11"/>
      <c r="AK78" s="12"/>
      <c r="AL78" s="13"/>
      <c r="AN78" s="6"/>
      <c r="AO78" s="7"/>
      <c r="AP78" s="8">
        <v>6</v>
      </c>
      <c r="AQ78" s="9"/>
      <c r="AS78" s="10"/>
      <c r="AT78" s="11"/>
      <c r="AU78" s="12"/>
      <c r="AV78" s="13"/>
      <c r="AX78" s="6"/>
      <c r="AY78" s="7"/>
      <c r="AZ78" s="8">
        <v>8</v>
      </c>
      <c r="BA78" s="9"/>
      <c r="BC78" s="46">
        <f t="shared" ref="BC78:BC82" si="10">SUM(E78:BA78)</f>
        <v>14</v>
      </c>
      <c r="BD78" s="47">
        <f>(SUM(BE78,'Run distances (Term 2)'!BI78,'Run distances (Term 3)'!BI78,'Run distances (Term 4)'!BI78))</f>
        <v>8.4</v>
      </c>
      <c r="BE78" s="47">
        <f t="shared" ref="BE78:BE82" si="11">(SUM(E78:BB78)*$D$2)</f>
        <v>4.2</v>
      </c>
    </row>
    <row r="79" spans="1:57" x14ac:dyDescent="0.25">
      <c r="A79" s="44" t="s">
        <v>444</v>
      </c>
      <c r="B79" s="45"/>
      <c r="C79" s="44" t="s">
        <v>49</v>
      </c>
      <c r="E79" s="10"/>
      <c r="F79" s="11"/>
      <c r="G79" s="12"/>
      <c r="H79" s="13"/>
      <c r="J79" s="6"/>
      <c r="K79" s="7"/>
      <c r="L79" s="8"/>
      <c r="M79" s="9"/>
      <c r="O79" s="10"/>
      <c r="P79" s="11"/>
      <c r="Q79" s="12"/>
      <c r="R79" s="13"/>
      <c r="T79" s="6"/>
      <c r="U79" s="7"/>
      <c r="V79" s="8"/>
      <c r="W79" s="9"/>
      <c r="Y79" s="10"/>
      <c r="Z79" s="11"/>
      <c r="AA79" s="12"/>
      <c r="AB79" s="13"/>
      <c r="AD79" s="6"/>
      <c r="AE79" s="7"/>
      <c r="AF79" s="8"/>
      <c r="AG79" s="9"/>
      <c r="AI79" s="10"/>
      <c r="AJ79" s="11"/>
      <c r="AK79" s="12"/>
      <c r="AL79" s="13"/>
      <c r="AN79" s="6"/>
      <c r="AO79" s="7"/>
      <c r="AP79" s="8"/>
      <c r="AQ79" s="9"/>
      <c r="AS79" s="10"/>
      <c r="AT79" s="11"/>
      <c r="AU79" s="12"/>
      <c r="AV79" s="13"/>
      <c r="AX79" s="6"/>
      <c r="AY79" s="7"/>
      <c r="AZ79" s="8"/>
      <c r="BA79" s="9"/>
      <c r="BC79" s="46">
        <f t="shared" si="10"/>
        <v>0</v>
      </c>
      <c r="BD79" s="47">
        <f>(SUM(BE79,'Run distances (Term 2)'!BI79,'Run distances (Term 3)'!BI79,'Run distances (Term 4)'!BI79))</f>
        <v>2.4</v>
      </c>
      <c r="BE79" s="47">
        <f t="shared" si="11"/>
        <v>0</v>
      </c>
    </row>
    <row r="80" spans="1:57" x14ac:dyDescent="0.25">
      <c r="A80" s="44" t="s">
        <v>445</v>
      </c>
      <c r="B80" s="45"/>
      <c r="C80" s="44" t="s">
        <v>49</v>
      </c>
      <c r="E80" s="10"/>
      <c r="F80" s="11"/>
      <c r="G80" s="12"/>
      <c r="H80" s="13"/>
      <c r="J80" s="6"/>
      <c r="K80" s="7"/>
      <c r="L80" s="8"/>
      <c r="M80" s="9"/>
      <c r="O80" s="10"/>
      <c r="P80" s="11"/>
      <c r="Q80" s="12"/>
      <c r="R80" s="13"/>
      <c r="T80" s="6"/>
      <c r="U80" s="7"/>
      <c r="V80" s="8"/>
      <c r="W80" s="9"/>
      <c r="Y80" s="10"/>
      <c r="Z80" s="11"/>
      <c r="AA80" s="12"/>
      <c r="AB80" s="13"/>
      <c r="AD80" s="6"/>
      <c r="AE80" s="7"/>
      <c r="AF80" s="8"/>
      <c r="AG80" s="9"/>
      <c r="AI80" s="10"/>
      <c r="AJ80" s="11"/>
      <c r="AK80" s="12"/>
      <c r="AL80" s="13"/>
      <c r="AN80" s="6"/>
      <c r="AO80" s="7"/>
      <c r="AP80" s="8"/>
      <c r="AQ80" s="9"/>
      <c r="AS80" s="10"/>
      <c r="AT80" s="11"/>
      <c r="AU80" s="12"/>
      <c r="AV80" s="13"/>
      <c r="AX80" s="6"/>
      <c r="AY80" s="7"/>
      <c r="AZ80" s="8"/>
      <c r="BA80" s="9"/>
      <c r="BC80" s="46">
        <f t="shared" si="10"/>
        <v>0</v>
      </c>
      <c r="BD80" s="47">
        <f>(SUM(BE80,'Run distances (Term 2)'!BI80,'Run distances (Term 3)'!BI80,'Run distances (Term 4)'!BI80))</f>
        <v>5.3999999999999995</v>
      </c>
      <c r="BE80" s="47">
        <f t="shared" si="11"/>
        <v>0</v>
      </c>
    </row>
    <row r="81" spans="1:57" x14ac:dyDescent="0.25">
      <c r="A81" s="44" t="s">
        <v>446</v>
      </c>
      <c r="B81" s="45"/>
      <c r="C81" s="44" t="s">
        <v>49</v>
      </c>
      <c r="E81" s="10"/>
      <c r="F81" s="11"/>
      <c r="G81" s="12"/>
      <c r="H81" s="13"/>
      <c r="J81" s="6"/>
      <c r="K81" s="7"/>
      <c r="L81" s="8"/>
      <c r="M81" s="9"/>
      <c r="O81" s="10"/>
      <c r="P81" s="11"/>
      <c r="Q81" s="12"/>
      <c r="R81" s="13"/>
      <c r="T81" s="6"/>
      <c r="U81" s="7"/>
      <c r="V81" s="8"/>
      <c r="W81" s="9"/>
      <c r="Y81" s="10"/>
      <c r="Z81" s="11"/>
      <c r="AA81" s="12"/>
      <c r="AB81" s="13"/>
      <c r="AD81" s="6"/>
      <c r="AE81" s="7"/>
      <c r="AF81" s="8"/>
      <c r="AG81" s="9"/>
      <c r="AI81" s="10"/>
      <c r="AJ81" s="11"/>
      <c r="AK81" s="12"/>
      <c r="AL81" s="13"/>
      <c r="AN81" s="6"/>
      <c r="AO81" s="7"/>
      <c r="AP81" s="8"/>
      <c r="AQ81" s="9"/>
      <c r="AS81" s="10"/>
      <c r="AT81" s="11"/>
      <c r="AU81" s="12"/>
      <c r="AV81" s="13"/>
      <c r="AX81" s="6"/>
      <c r="AY81" s="7"/>
      <c r="AZ81" s="8"/>
      <c r="BA81" s="9"/>
      <c r="BC81" s="46">
        <f t="shared" si="10"/>
        <v>0</v>
      </c>
      <c r="BD81" s="47">
        <f>(SUM(BE81,'Run distances (Term 2)'!BI81,'Run distances (Term 3)'!BI81,'Run distances (Term 4)'!BI81))</f>
        <v>0.6</v>
      </c>
      <c r="BE81" s="47">
        <f t="shared" si="11"/>
        <v>0</v>
      </c>
    </row>
    <row r="82" spans="1:57" x14ac:dyDescent="0.25">
      <c r="A82" s="44" t="s">
        <v>451</v>
      </c>
      <c r="B82" s="45"/>
      <c r="C82" s="44" t="s">
        <v>49</v>
      </c>
      <c r="E82" s="10"/>
      <c r="F82" s="11"/>
      <c r="G82" s="12"/>
      <c r="H82" s="13"/>
      <c r="J82" s="6"/>
      <c r="K82" s="7"/>
      <c r="L82" s="8"/>
      <c r="M82" s="9"/>
      <c r="O82" s="10"/>
      <c r="P82" s="11"/>
      <c r="Q82" s="12"/>
      <c r="R82" s="13"/>
      <c r="T82" s="6"/>
      <c r="U82" s="7"/>
      <c r="V82" s="8"/>
      <c r="W82" s="9"/>
      <c r="Y82" s="10"/>
      <c r="Z82" s="11"/>
      <c r="AA82" s="12"/>
      <c r="AB82" s="13"/>
      <c r="AD82" s="6"/>
      <c r="AE82" s="7"/>
      <c r="AF82" s="8"/>
      <c r="AG82" s="9"/>
      <c r="AI82" s="10"/>
      <c r="AJ82" s="11"/>
      <c r="AK82" s="12"/>
      <c r="AL82" s="13"/>
      <c r="AN82" s="6"/>
      <c r="AO82" s="7"/>
      <c r="AP82" s="8"/>
      <c r="AQ82" s="9"/>
      <c r="AS82" s="10"/>
      <c r="AT82" s="11"/>
      <c r="AU82" s="12"/>
      <c r="AV82" s="13"/>
      <c r="AX82" s="6"/>
      <c r="AY82" s="7"/>
      <c r="AZ82" s="8"/>
      <c r="BA82" s="9"/>
      <c r="BC82" s="46">
        <f t="shared" si="10"/>
        <v>0</v>
      </c>
      <c r="BD82" s="47">
        <f>(SUM(BE82,'Run distances (Term 2)'!BI82,'Run distances (Term 3)'!BI82,'Run distances (Term 4)'!BI82))</f>
        <v>1.2</v>
      </c>
      <c r="BE82" s="47">
        <f t="shared" si="11"/>
        <v>0</v>
      </c>
    </row>
    <row r="83" spans="1:57" x14ac:dyDescent="0.25">
      <c r="A83" s="44" t="s">
        <v>452</v>
      </c>
      <c r="B83" s="45"/>
      <c r="C83" s="44" t="s">
        <v>49</v>
      </c>
      <c r="E83" s="10"/>
      <c r="F83" s="11"/>
      <c r="G83" s="12"/>
      <c r="H83" s="13"/>
      <c r="J83" s="6"/>
      <c r="K83" s="7"/>
      <c r="L83" s="8"/>
      <c r="M83" s="9"/>
      <c r="O83" s="10"/>
      <c r="P83" s="11"/>
      <c r="Q83" s="12"/>
      <c r="R83" s="13"/>
      <c r="T83" s="6"/>
      <c r="U83" s="7"/>
      <c r="V83" s="8"/>
      <c r="W83" s="9"/>
      <c r="Y83" s="10"/>
      <c r="Z83" s="11"/>
      <c r="AA83" s="12"/>
      <c r="AB83" s="13"/>
      <c r="AD83" s="6"/>
      <c r="AE83" s="7"/>
      <c r="AF83" s="8"/>
      <c r="AG83" s="9"/>
      <c r="AI83" s="10"/>
      <c r="AJ83" s="11"/>
      <c r="AK83" s="12"/>
      <c r="AL83" s="13"/>
      <c r="AN83" s="6"/>
      <c r="AO83" s="7"/>
      <c r="AP83" s="8"/>
      <c r="AQ83" s="9"/>
      <c r="AS83" s="10"/>
      <c r="AT83" s="11"/>
      <c r="AU83" s="12"/>
      <c r="AV83" s="13"/>
      <c r="AX83" s="6"/>
      <c r="AY83" s="7"/>
      <c r="AZ83" s="8"/>
      <c r="BA83" s="9"/>
      <c r="BC83" s="46">
        <f t="shared" si="7"/>
        <v>0</v>
      </c>
      <c r="BD83" s="47">
        <f>(SUM(BE83,'Run distances (Term 2)'!BI83,'Run distances (Term 3)'!BI83,'Run distances (Term 4)'!BI83))</f>
        <v>1.7999999999999998</v>
      </c>
      <c r="BE83" s="47">
        <f t="shared" si="3"/>
        <v>0</v>
      </c>
    </row>
    <row r="84" spans="1:57" x14ac:dyDescent="0.25">
      <c r="E84" s="10"/>
      <c r="F84" s="11"/>
      <c r="G84" s="12"/>
      <c r="H84" s="13"/>
      <c r="J84" s="6"/>
      <c r="K84" s="7"/>
      <c r="L84" s="8"/>
      <c r="M84" s="9"/>
      <c r="O84" s="10"/>
      <c r="P84" s="11"/>
      <c r="Q84" s="12"/>
      <c r="R84" s="13"/>
      <c r="T84" s="6"/>
      <c r="U84" s="7"/>
      <c r="V84" s="8"/>
      <c r="W84" s="9"/>
      <c r="Y84" s="10"/>
      <c r="Z84" s="11"/>
      <c r="AA84" s="12"/>
      <c r="AB84" s="13"/>
      <c r="AD84" s="6"/>
      <c r="AE84" s="7"/>
      <c r="AF84" s="8"/>
      <c r="AG84" s="9"/>
      <c r="AI84" s="10"/>
      <c r="AJ84" s="11"/>
      <c r="AK84" s="12"/>
      <c r="AL84" s="13"/>
      <c r="AN84" s="6"/>
      <c r="AO84" s="7"/>
      <c r="AP84" s="8"/>
      <c r="AQ84" s="9"/>
      <c r="AS84" s="10"/>
      <c r="AT84" s="11"/>
      <c r="AU84" s="12"/>
      <c r="AV84" s="13"/>
      <c r="AX84" s="6"/>
      <c r="AY84" s="7"/>
      <c r="AZ84" s="8"/>
      <c r="BA84" s="9"/>
    </row>
    <row r="85" spans="1:57" x14ac:dyDescent="0.25">
      <c r="A85" s="42" t="s">
        <v>219</v>
      </c>
      <c r="B85" s="43">
        <v>1</v>
      </c>
      <c r="C85" s="42" t="s">
        <v>64</v>
      </c>
      <c r="D85" t="s">
        <v>52</v>
      </c>
      <c r="E85" s="10">
        <v>0</v>
      </c>
      <c r="F85" s="11">
        <v>0</v>
      </c>
      <c r="G85" s="12">
        <v>3</v>
      </c>
      <c r="H85" s="13">
        <v>1</v>
      </c>
      <c r="J85" s="6"/>
      <c r="K85" s="7"/>
      <c r="L85" s="8"/>
      <c r="M85" s="9"/>
      <c r="O85" s="10"/>
      <c r="P85" s="11"/>
      <c r="Q85" s="12"/>
      <c r="R85" s="13"/>
      <c r="T85" s="6"/>
      <c r="U85" s="7"/>
      <c r="V85" s="8"/>
      <c r="W85" s="9"/>
      <c r="Y85" s="10"/>
      <c r="Z85" s="11"/>
      <c r="AA85" s="12"/>
      <c r="AB85" s="13"/>
      <c r="AD85" s="6"/>
      <c r="AE85" s="7"/>
      <c r="AF85" s="8"/>
      <c r="AG85" s="9"/>
      <c r="AI85" s="10"/>
      <c r="AJ85" s="11"/>
      <c r="AK85" s="12">
        <v>3</v>
      </c>
      <c r="AL85" s="13">
        <v>1</v>
      </c>
      <c r="AN85" s="6"/>
      <c r="AO85" s="7"/>
      <c r="AP85" s="8"/>
      <c r="AQ85" s="9"/>
      <c r="AS85" s="10"/>
      <c r="AT85" s="11"/>
      <c r="AU85" s="12"/>
      <c r="AV85" s="13"/>
      <c r="AX85" s="6"/>
      <c r="AY85" s="7"/>
      <c r="AZ85" s="8"/>
      <c r="BA85" s="9"/>
      <c r="BC85" s="46">
        <f t="shared" si="7"/>
        <v>8</v>
      </c>
      <c r="BD85" s="47">
        <f>(SUM(BE85,'Run distances (Term 2)'!BI85,'Run distances (Term 3)'!BI85,'Run distances (Term 4)'!BI85))</f>
        <v>2.6999999999999997</v>
      </c>
      <c r="BE85" s="47">
        <f t="shared" si="3"/>
        <v>2.4</v>
      </c>
    </row>
    <row r="86" spans="1:57" x14ac:dyDescent="0.25">
      <c r="A86" s="42" t="s">
        <v>218</v>
      </c>
      <c r="B86" s="43">
        <v>1</v>
      </c>
      <c r="C86" s="42" t="s">
        <v>64</v>
      </c>
      <c r="D86" t="s">
        <v>52</v>
      </c>
      <c r="E86" s="10">
        <v>0</v>
      </c>
      <c r="F86" s="11">
        <v>0</v>
      </c>
      <c r="G86" s="12">
        <v>0</v>
      </c>
      <c r="H86" s="13">
        <v>1</v>
      </c>
      <c r="J86" s="6"/>
      <c r="K86" s="7"/>
      <c r="L86" s="8"/>
      <c r="M86" s="9">
        <v>2</v>
      </c>
      <c r="O86" s="10"/>
      <c r="P86" s="11"/>
      <c r="Q86" s="12"/>
      <c r="R86" s="13"/>
      <c r="T86" s="6">
        <v>1</v>
      </c>
      <c r="U86" s="7"/>
      <c r="V86" s="8"/>
      <c r="W86" s="9"/>
      <c r="Y86" s="10"/>
      <c r="Z86" s="11"/>
      <c r="AA86" s="12"/>
      <c r="AB86" s="13"/>
      <c r="AD86" s="6"/>
      <c r="AE86" s="7"/>
      <c r="AF86" s="8"/>
      <c r="AG86" s="9"/>
      <c r="AI86" s="10"/>
      <c r="AJ86" s="11"/>
      <c r="AK86" s="12"/>
      <c r="AL86" s="13">
        <v>1</v>
      </c>
      <c r="AN86" s="6"/>
      <c r="AO86" s="7"/>
      <c r="AP86" s="8"/>
      <c r="AQ86" s="9"/>
      <c r="AS86" s="10"/>
      <c r="AT86" s="11"/>
      <c r="AU86" s="12"/>
      <c r="AV86" s="13"/>
      <c r="AX86" s="6"/>
      <c r="AY86" s="7"/>
      <c r="AZ86" s="8"/>
      <c r="BA86" s="9"/>
      <c r="BC86" s="46">
        <f t="shared" si="7"/>
        <v>5</v>
      </c>
      <c r="BD86" s="47">
        <f>(SUM(BE86,'Run distances (Term 2)'!BI86,'Run distances (Term 3)'!BI86,'Run distances (Term 4)'!BI86))</f>
        <v>4.5</v>
      </c>
      <c r="BE86" s="47">
        <f t="shared" si="3"/>
        <v>1.5</v>
      </c>
    </row>
    <row r="87" spans="1:57" x14ac:dyDescent="0.25">
      <c r="A87" s="42" t="s">
        <v>362</v>
      </c>
      <c r="B87" s="43">
        <v>1</v>
      </c>
      <c r="C87" s="42" t="s">
        <v>64</v>
      </c>
      <c r="D87" t="s">
        <v>52</v>
      </c>
      <c r="E87" s="10">
        <v>0</v>
      </c>
      <c r="F87" s="11">
        <v>0</v>
      </c>
      <c r="G87" s="12">
        <v>0</v>
      </c>
      <c r="H87" s="13"/>
      <c r="J87" s="6"/>
      <c r="K87" s="7"/>
      <c r="L87" s="8"/>
      <c r="M87" s="9"/>
      <c r="O87" s="10"/>
      <c r="P87" s="11"/>
      <c r="Q87" s="12"/>
      <c r="R87" s="13"/>
      <c r="T87" s="6"/>
      <c r="U87" s="7"/>
      <c r="V87" s="8"/>
      <c r="W87" s="9"/>
      <c r="Y87" s="10"/>
      <c r="Z87" s="11"/>
      <c r="AA87" s="12"/>
      <c r="AB87" s="13"/>
      <c r="AD87" s="6"/>
      <c r="AE87" s="7"/>
      <c r="AF87" s="8"/>
      <c r="AG87" s="9"/>
      <c r="AI87" s="10"/>
      <c r="AJ87" s="11"/>
      <c r="AK87" s="12"/>
      <c r="AL87" s="13">
        <v>1</v>
      </c>
      <c r="AN87" s="6"/>
      <c r="AO87" s="7"/>
      <c r="AP87" s="8"/>
      <c r="AQ87" s="9"/>
      <c r="AS87" s="10"/>
      <c r="AT87" s="11"/>
      <c r="AU87" s="12"/>
      <c r="AV87" s="13"/>
      <c r="AX87" s="6"/>
      <c r="AY87" s="7"/>
      <c r="AZ87" s="8"/>
      <c r="BA87" s="9"/>
      <c r="BC87" s="46">
        <f t="shared" si="7"/>
        <v>1</v>
      </c>
      <c r="BD87" s="47">
        <f>(SUM(BE87,'Run distances (Term 2)'!BI87,'Run distances (Term 3)'!BI87,'Run distances (Term 4)'!BI87))</f>
        <v>0.89999999999999991</v>
      </c>
      <c r="BE87" s="47">
        <f t="shared" si="3"/>
        <v>0.3</v>
      </c>
    </row>
    <row r="88" spans="1:57" x14ac:dyDescent="0.25">
      <c r="A88" s="42" t="s">
        <v>217</v>
      </c>
      <c r="B88" s="43">
        <v>2</v>
      </c>
      <c r="C88" s="42" t="s">
        <v>64</v>
      </c>
      <c r="D88" t="s">
        <v>52</v>
      </c>
      <c r="E88" s="10"/>
      <c r="F88" s="11"/>
      <c r="G88" s="12"/>
      <c r="H88" s="13"/>
      <c r="J88" s="6"/>
      <c r="K88" s="7"/>
      <c r="L88" s="8"/>
      <c r="M88" s="9"/>
      <c r="O88" s="10"/>
      <c r="P88" s="11"/>
      <c r="Q88" s="12"/>
      <c r="R88" s="13"/>
      <c r="T88" s="6"/>
      <c r="U88" s="7"/>
      <c r="V88" s="8"/>
      <c r="W88" s="9"/>
      <c r="Y88" s="10"/>
      <c r="Z88" s="11"/>
      <c r="AA88" s="12"/>
      <c r="AB88" s="13"/>
      <c r="AD88" s="6"/>
      <c r="AE88" s="7"/>
      <c r="AF88" s="8"/>
      <c r="AG88" s="9"/>
      <c r="AI88" s="10"/>
      <c r="AJ88" s="11"/>
      <c r="AK88" s="12"/>
      <c r="AL88" s="13"/>
      <c r="AN88" s="6"/>
      <c r="AO88" s="7"/>
      <c r="AP88" s="8"/>
      <c r="AQ88" s="9"/>
      <c r="AS88" s="10"/>
      <c r="AT88" s="11"/>
      <c r="AU88" s="12"/>
      <c r="AV88" s="13"/>
      <c r="AX88" s="6"/>
      <c r="AY88" s="7"/>
      <c r="AZ88" s="8"/>
      <c r="BA88" s="9"/>
      <c r="BC88" s="46">
        <f t="shared" si="7"/>
        <v>0</v>
      </c>
      <c r="BD88" s="47">
        <f>(SUM(BE88,'Run distances (Term 2)'!BI88,'Run distances (Term 3)'!BI88,'Run distances (Term 4)'!BI88))</f>
        <v>0</v>
      </c>
      <c r="BE88" s="47">
        <f t="shared" ref="BE88:BE173" si="12">(SUM(E88:BB88)*$D$2)</f>
        <v>0</v>
      </c>
    </row>
    <row r="89" spans="1:57" x14ac:dyDescent="0.25">
      <c r="A89" s="42" t="s">
        <v>216</v>
      </c>
      <c r="B89" s="43">
        <v>2</v>
      </c>
      <c r="C89" s="42" t="s">
        <v>64</v>
      </c>
      <c r="D89" t="s">
        <v>52</v>
      </c>
      <c r="E89" s="10">
        <v>2</v>
      </c>
      <c r="F89" s="11">
        <v>0</v>
      </c>
      <c r="G89" s="12">
        <v>2</v>
      </c>
      <c r="H89" s="13">
        <v>0</v>
      </c>
      <c r="J89" s="6"/>
      <c r="K89" s="7"/>
      <c r="L89" s="8"/>
      <c r="M89" s="9"/>
      <c r="O89" s="10">
        <v>2</v>
      </c>
      <c r="P89" s="11">
        <v>1</v>
      </c>
      <c r="Q89" s="12"/>
      <c r="R89" s="13"/>
      <c r="T89" s="6"/>
      <c r="U89" s="7"/>
      <c r="V89" s="8"/>
      <c r="W89" s="9"/>
      <c r="Y89" s="10"/>
      <c r="Z89" s="11">
        <v>2</v>
      </c>
      <c r="AA89" s="12"/>
      <c r="AB89" s="13"/>
      <c r="AD89" s="6"/>
      <c r="AE89" s="7"/>
      <c r="AF89" s="8"/>
      <c r="AG89" s="9"/>
      <c r="AI89" s="10"/>
      <c r="AJ89" s="11"/>
      <c r="AK89" s="12"/>
      <c r="AL89" s="13"/>
      <c r="AN89" s="6"/>
      <c r="AO89" s="7"/>
      <c r="AP89" s="8"/>
      <c r="AQ89" s="9"/>
      <c r="AS89" s="10"/>
      <c r="AT89" s="11"/>
      <c r="AU89" s="12"/>
      <c r="AV89" s="13"/>
      <c r="AX89" s="6"/>
      <c r="AY89" s="7"/>
      <c r="AZ89" s="8"/>
      <c r="BA89" s="9"/>
      <c r="BC89" s="46">
        <f t="shared" si="7"/>
        <v>9</v>
      </c>
      <c r="BD89" s="47">
        <f>(SUM(BE89,'Run distances (Term 2)'!BI89,'Run distances (Term 3)'!BI89,'Run distances (Term 4)'!BI89))</f>
        <v>5.6999999999999993</v>
      </c>
      <c r="BE89" s="47">
        <f t="shared" si="12"/>
        <v>2.6999999999999997</v>
      </c>
    </row>
    <row r="90" spans="1:57" x14ac:dyDescent="0.25">
      <c r="A90" s="42" t="s">
        <v>215</v>
      </c>
      <c r="B90" s="43">
        <v>2</v>
      </c>
      <c r="C90" s="42" t="s">
        <v>64</v>
      </c>
      <c r="D90" t="s">
        <v>52</v>
      </c>
      <c r="E90" s="10"/>
      <c r="F90" s="11"/>
      <c r="G90" s="12"/>
      <c r="H90" s="13"/>
      <c r="J90" s="6"/>
      <c r="K90" s="7"/>
      <c r="L90" s="8">
        <v>1</v>
      </c>
      <c r="M90" s="9">
        <v>1</v>
      </c>
      <c r="O90" s="10"/>
      <c r="P90" s="11"/>
      <c r="Q90" s="12"/>
      <c r="R90" s="13"/>
      <c r="T90" s="6"/>
      <c r="U90" s="7"/>
      <c r="V90" s="8"/>
      <c r="W90" s="9"/>
      <c r="Y90" s="10"/>
      <c r="Z90" s="11"/>
      <c r="AA90" s="12"/>
      <c r="AB90" s="13"/>
      <c r="AD90" s="6"/>
      <c r="AE90" s="7"/>
      <c r="AF90" s="8"/>
      <c r="AG90" s="9"/>
      <c r="AI90" s="10"/>
      <c r="AJ90" s="11"/>
      <c r="AK90" s="12"/>
      <c r="AL90" s="13"/>
      <c r="AN90" s="6"/>
      <c r="AO90" s="7"/>
      <c r="AP90" s="8"/>
      <c r="AQ90" s="9"/>
      <c r="AS90" s="10"/>
      <c r="AT90" s="11"/>
      <c r="AU90" s="12"/>
      <c r="AV90" s="13"/>
      <c r="AX90" s="6"/>
      <c r="AY90" s="7"/>
      <c r="AZ90" s="8"/>
      <c r="BA90" s="9"/>
      <c r="BC90" s="46">
        <f t="shared" si="7"/>
        <v>2</v>
      </c>
      <c r="BD90" s="47">
        <f>(SUM(BE90,'Run distances (Term 2)'!BI90,'Run distances (Term 3)'!BI90,'Run distances (Term 4)'!BI90))</f>
        <v>3.3</v>
      </c>
      <c r="BE90" s="47">
        <f t="shared" si="12"/>
        <v>0.6</v>
      </c>
    </row>
    <row r="91" spans="1:57" x14ac:dyDescent="0.25">
      <c r="A91" s="42" t="s">
        <v>214</v>
      </c>
      <c r="B91" s="43">
        <v>2</v>
      </c>
      <c r="C91" s="42" t="s">
        <v>64</v>
      </c>
      <c r="D91" t="s">
        <v>52</v>
      </c>
      <c r="E91" s="10">
        <v>0</v>
      </c>
      <c r="F91" s="11">
        <v>0</v>
      </c>
      <c r="G91" s="12">
        <v>0</v>
      </c>
      <c r="H91" s="13">
        <v>2</v>
      </c>
      <c r="J91" s="6"/>
      <c r="K91" s="7"/>
      <c r="L91" s="8"/>
      <c r="M91" s="9"/>
      <c r="O91" s="10"/>
      <c r="P91" s="11"/>
      <c r="Q91" s="12"/>
      <c r="R91" s="13"/>
      <c r="T91" s="6"/>
      <c r="U91" s="7"/>
      <c r="V91" s="8"/>
      <c r="W91" s="9"/>
      <c r="Y91" s="10"/>
      <c r="Z91" s="11"/>
      <c r="AA91" s="12"/>
      <c r="AB91" s="13"/>
      <c r="AD91" s="6"/>
      <c r="AE91" s="7"/>
      <c r="AF91" s="8"/>
      <c r="AG91" s="9"/>
      <c r="AI91" s="10"/>
      <c r="AJ91" s="11"/>
      <c r="AK91" s="12"/>
      <c r="AL91" s="13"/>
      <c r="AN91" s="6"/>
      <c r="AO91" s="7"/>
      <c r="AP91" s="8"/>
      <c r="AQ91" s="9"/>
      <c r="AS91" s="10"/>
      <c r="AT91" s="11"/>
      <c r="AU91" s="12"/>
      <c r="AV91" s="13"/>
      <c r="AX91" s="6"/>
      <c r="AY91" s="7"/>
      <c r="AZ91" s="8"/>
      <c r="BA91" s="9"/>
      <c r="BC91" s="46">
        <f t="shared" si="7"/>
        <v>2</v>
      </c>
      <c r="BD91" s="47">
        <f>(SUM(BE91,'Run distances (Term 2)'!BI91,'Run distances (Term 3)'!BI91,'Run distances (Term 4)'!BI91))</f>
        <v>0.89999999999999991</v>
      </c>
      <c r="BE91" s="47">
        <f t="shared" si="12"/>
        <v>0.6</v>
      </c>
    </row>
    <row r="92" spans="1:57" x14ac:dyDescent="0.25">
      <c r="A92" s="42" t="s">
        <v>213</v>
      </c>
      <c r="B92" s="43">
        <v>2</v>
      </c>
      <c r="C92" s="42" t="s">
        <v>64</v>
      </c>
      <c r="D92" t="s">
        <v>52</v>
      </c>
      <c r="E92" s="10"/>
      <c r="F92" s="11"/>
      <c r="G92" s="12"/>
      <c r="H92" s="13"/>
      <c r="J92" s="6"/>
      <c r="K92" s="7"/>
      <c r="L92" s="8"/>
      <c r="M92" s="9"/>
      <c r="O92" s="10"/>
      <c r="P92" s="11"/>
      <c r="Q92" s="12"/>
      <c r="R92" s="13"/>
      <c r="T92" s="6"/>
      <c r="U92" s="7"/>
      <c r="V92" s="8"/>
      <c r="W92" s="9"/>
      <c r="Y92" s="10"/>
      <c r="Z92" s="11"/>
      <c r="AA92" s="12"/>
      <c r="AB92" s="13"/>
      <c r="AD92" s="6"/>
      <c r="AE92" s="7"/>
      <c r="AF92" s="8"/>
      <c r="AG92" s="9"/>
      <c r="AI92" s="10"/>
      <c r="AJ92" s="11"/>
      <c r="AK92" s="12"/>
      <c r="AL92" s="13"/>
      <c r="AN92" s="6"/>
      <c r="AO92" s="7"/>
      <c r="AP92" s="8"/>
      <c r="AQ92" s="9"/>
      <c r="AS92" s="10"/>
      <c r="AT92" s="11"/>
      <c r="AU92" s="12"/>
      <c r="AV92" s="13"/>
      <c r="AX92" s="6"/>
      <c r="AY92" s="7"/>
      <c r="AZ92" s="8"/>
      <c r="BA92" s="9"/>
      <c r="BC92" s="46">
        <f t="shared" si="7"/>
        <v>0</v>
      </c>
      <c r="BD92" s="47">
        <f>(SUM(BE92,'Run distances (Term 2)'!BI92,'Run distances (Term 3)'!BI92,'Run distances (Term 4)'!BI92))</f>
        <v>0.89999999999999991</v>
      </c>
      <c r="BE92" s="47">
        <f t="shared" si="12"/>
        <v>0</v>
      </c>
    </row>
    <row r="93" spans="1:57" x14ac:dyDescent="0.25">
      <c r="A93" s="42" t="s">
        <v>212</v>
      </c>
      <c r="B93" s="43">
        <v>2</v>
      </c>
      <c r="C93" s="42" t="s">
        <v>64</v>
      </c>
      <c r="D93" t="s">
        <v>52</v>
      </c>
      <c r="E93" s="10"/>
      <c r="F93" s="11"/>
      <c r="G93" s="12"/>
      <c r="H93" s="13"/>
      <c r="J93" s="6"/>
      <c r="K93" s="7"/>
      <c r="L93" s="8"/>
      <c r="M93" s="9">
        <v>4</v>
      </c>
      <c r="O93" s="10"/>
      <c r="P93" s="11">
        <v>8</v>
      </c>
      <c r="Q93" s="12">
        <v>3</v>
      </c>
      <c r="R93" s="13">
        <v>8</v>
      </c>
      <c r="T93" s="6">
        <v>4</v>
      </c>
      <c r="U93" s="7">
        <v>3</v>
      </c>
      <c r="V93" s="8"/>
      <c r="W93" s="9"/>
      <c r="Y93" s="10">
        <v>2</v>
      </c>
      <c r="Z93" s="11">
        <v>4</v>
      </c>
      <c r="AA93" s="12"/>
      <c r="AB93" s="13"/>
      <c r="AD93" s="6"/>
      <c r="AE93" s="7">
        <v>4</v>
      </c>
      <c r="AF93" s="8">
        <v>5</v>
      </c>
      <c r="AG93" s="9"/>
      <c r="AI93" s="10"/>
      <c r="AJ93" s="11">
        <v>2</v>
      </c>
      <c r="AK93" s="12"/>
      <c r="AL93" s="13">
        <v>4</v>
      </c>
      <c r="AN93" s="6"/>
      <c r="AO93" s="7"/>
      <c r="AP93" s="8"/>
      <c r="AQ93" s="9">
        <v>2</v>
      </c>
      <c r="AS93" s="10"/>
      <c r="AT93" s="11"/>
      <c r="AU93" s="12"/>
      <c r="AV93" s="13"/>
      <c r="AX93" s="6">
        <v>3</v>
      </c>
      <c r="AY93" s="7"/>
      <c r="AZ93" s="8"/>
      <c r="BA93" s="9"/>
      <c r="BC93" s="46">
        <f t="shared" si="7"/>
        <v>56</v>
      </c>
      <c r="BD93" s="47">
        <f>(SUM(BE93,'Run distances (Term 2)'!BI93,'Run distances (Term 3)'!BI93,'Run distances (Term 4)'!BI93))</f>
        <v>36</v>
      </c>
      <c r="BE93" s="47">
        <f t="shared" si="12"/>
        <v>16.8</v>
      </c>
    </row>
    <row r="94" spans="1:57" x14ac:dyDescent="0.25">
      <c r="A94" s="42" t="s">
        <v>211</v>
      </c>
      <c r="B94" s="43">
        <v>10</v>
      </c>
      <c r="C94" s="42" t="s">
        <v>64</v>
      </c>
      <c r="D94" t="s">
        <v>59</v>
      </c>
      <c r="E94" s="10"/>
      <c r="F94" s="11"/>
      <c r="G94" s="12"/>
      <c r="H94" s="13"/>
      <c r="J94" s="6">
        <v>7</v>
      </c>
      <c r="K94" s="7">
        <v>5</v>
      </c>
      <c r="L94" s="8">
        <v>6</v>
      </c>
      <c r="M94" s="9"/>
      <c r="O94" s="10">
        <v>5</v>
      </c>
      <c r="P94" s="11">
        <v>10</v>
      </c>
      <c r="Q94" s="12">
        <v>10</v>
      </c>
      <c r="R94" s="13"/>
      <c r="T94" s="6">
        <v>6</v>
      </c>
      <c r="U94" s="7">
        <v>7</v>
      </c>
      <c r="V94" s="8">
        <v>6</v>
      </c>
      <c r="W94" s="9"/>
      <c r="Y94" s="10"/>
      <c r="Z94" s="11"/>
      <c r="AA94" s="12"/>
      <c r="AB94" s="13"/>
      <c r="AD94" s="6"/>
      <c r="AE94" s="7"/>
      <c r="AF94" s="8"/>
      <c r="AG94" s="9"/>
      <c r="AI94" s="10"/>
      <c r="AJ94" s="11"/>
      <c r="AK94" s="12"/>
      <c r="AL94" s="13"/>
      <c r="AN94" s="6"/>
      <c r="AO94" s="7"/>
      <c r="AP94" s="8"/>
      <c r="AQ94" s="9"/>
      <c r="AS94" s="10"/>
      <c r="AT94" s="11"/>
      <c r="AU94" s="12"/>
      <c r="AV94" s="13"/>
      <c r="AX94" s="6"/>
      <c r="AY94" s="7"/>
      <c r="AZ94" s="8"/>
      <c r="BA94" s="9"/>
      <c r="BC94" s="46">
        <f t="shared" si="7"/>
        <v>62</v>
      </c>
      <c r="BD94" s="47">
        <f>(SUM(BE94,'Run distances (Term 2)'!BI94,'Run distances (Term 3)'!BI94,'Run distances (Term 4)'!BI94))</f>
        <v>19.2</v>
      </c>
      <c r="BE94" s="47">
        <f t="shared" si="12"/>
        <v>18.599999999999998</v>
      </c>
    </row>
    <row r="95" spans="1:57" x14ac:dyDescent="0.25">
      <c r="A95" s="42" t="s">
        <v>210</v>
      </c>
      <c r="B95" s="43">
        <v>10</v>
      </c>
      <c r="C95" s="42" t="s">
        <v>64</v>
      </c>
      <c r="D95" t="s">
        <v>59</v>
      </c>
      <c r="E95" s="10"/>
      <c r="F95" s="11"/>
      <c r="G95" s="12"/>
      <c r="H95" s="13"/>
      <c r="J95" s="6">
        <v>0</v>
      </c>
      <c r="K95" s="7">
        <v>5</v>
      </c>
      <c r="L95" s="8"/>
      <c r="M95" s="9"/>
      <c r="O95" s="10"/>
      <c r="P95" s="11"/>
      <c r="Q95" s="12"/>
      <c r="R95" s="13"/>
      <c r="T95" s="6"/>
      <c r="U95" s="7"/>
      <c r="V95" s="8"/>
      <c r="W95" s="9"/>
      <c r="Y95" s="10"/>
      <c r="Z95" s="11"/>
      <c r="AA95" s="12"/>
      <c r="AB95" s="13"/>
      <c r="AD95" s="6"/>
      <c r="AE95" s="7"/>
      <c r="AF95" s="8"/>
      <c r="AG95" s="9"/>
      <c r="AI95" s="10"/>
      <c r="AJ95" s="11"/>
      <c r="AK95" s="12"/>
      <c r="AL95" s="13"/>
      <c r="AN95" s="6"/>
      <c r="AO95" s="7"/>
      <c r="AP95" s="8"/>
      <c r="AQ95" s="9"/>
      <c r="AS95" s="10"/>
      <c r="AT95" s="11"/>
      <c r="AU95" s="12"/>
      <c r="AV95" s="13"/>
      <c r="AX95" s="6"/>
      <c r="AY95" s="7"/>
      <c r="AZ95" s="8"/>
      <c r="BA95" s="9"/>
      <c r="BC95" s="46">
        <f t="shared" ref="BC95" si="13">SUM(E95:BA95)</f>
        <v>5</v>
      </c>
      <c r="BD95" s="47">
        <f>(SUM(BE95,'Run distances (Term 2)'!BI95,'Run distances (Term 3)'!BI95,'Run distances (Term 4)'!BI95))</f>
        <v>2.4</v>
      </c>
      <c r="BE95" s="47">
        <f t="shared" si="12"/>
        <v>1.5</v>
      </c>
    </row>
    <row r="96" spans="1:57" x14ac:dyDescent="0.25">
      <c r="A96" s="42" t="s">
        <v>363</v>
      </c>
      <c r="B96" s="43">
        <v>10</v>
      </c>
      <c r="C96" s="42" t="s">
        <v>64</v>
      </c>
      <c r="D96" t="s">
        <v>59</v>
      </c>
      <c r="E96" s="10"/>
      <c r="F96" s="11"/>
      <c r="G96" s="12"/>
      <c r="H96" s="13"/>
      <c r="J96" s="6">
        <v>0</v>
      </c>
      <c r="K96" s="7"/>
      <c r="L96" s="8"/>
      <c r="M96" s="9"/>
      <c r="O96" s="10"/>
      <c r="P96" s="11"/>
      <c r="Q96" s="12"/>
      <c r="R96" s="13"/>
      <c r="T96" s="6"/>
      <c r="U96" s="7"/>
      <c r="V96" s="8"/>
      <c r="W96" s="9"/>
      <c r="Y96" s="10"/>
      <c r="Z96" s="11">
        <v>2</v>
      </c>
      <c r="AA96" s="12">
        <v>2</v>
      </c>
      <c r="AB96" s="13"/>
      <c r="AD96" s="6"/>
      <c r="AE96" s="7"/>
      <c r="AF96" s="8">
        <v>3</v>
      </c>
      <c r="AG96" s="9">
        <v>5</v>
      </c>
      <c r="AI96" s="10">
        <v>4</v>
      </c>
      <c r="AJ96" s="11">
        <v>4</v>
      </c>
      <c r="AK96" s="12"/>
      <c r="AL96" s="13"/>
      <c r="AN96" s="6"/>
      <c r="AO96" s="7"/>
      <c r="AP96" s="8"/>
      <c r="AQ96" s="9"/>
      <c r="AS96" s="10"/>
      <c r="AT96" s="11">
        <v>3</v>
      </c>
      <c r="AU96" s="12"/>
      <c r="AV96" s="13"/>
      <c r="AX96" s="6"/>
      <c r="AY96" s="7"/>
      <c r="AZ96" s="8"/>
      <c r="BA96" s="9"/>
      <c r="BC96" s="46">
        <f t="shared" si="7"/>
        <v>23</v>
      </c>
      <c r="BD96" s="47">
        <f>(SUM(BE96,'Run distances (Term 2)'!BI96,'Run distances (Term 3)'!BI96,'Run distances (Term 4)'!BI96))</f>
        <v>7.1999999999999993</v>
      </c>
      <c r="BE96" s="47">
        <f t="shared" si="12"/>
        <v>6.8999999999999995</v>
      </c>
    </row>
    <row r="97" spans="1:57" x14ac:dyDescent="0.25">
      <c r="A97" s="42" t="s">
        <v>208</v>
      </c>
      <c r="B97" s="43">
        <v>10</v>
      </c>
      <c r="C97" s="42" t="s">
        <v>64</v>
      </c>
      <c r="D97" t="s">
        <v>59</v>
      </c>
      <c r="E97" s="10"/>
      <c r="F97" s="11"/>
      <c r="G97" s="12"/>
      <c r="H97" s="13"/>
      <c r="J97" s="6">
        <v>0</v>
      </c>
      <c r="K97" s="7">
        <v>1</v>
      </c>
      <c r="L97" s="8"/>
      <c r="M97" s="9"/>
      <c r="O97" s="10"/>
      <c r="P97" s="11"/>
      <c r="Q97" s="12"/>
      <c r="R97" s="13"/>
      <c r="T97" s="6"/>
      <c r="U97" s="7">
        <v>2</v>
      </c>
      <c r="V97" s="8"/>
      <c r="W97" s="9"/>
      <c r="Y97" s="10"/>
      <c r="Z97" s="11">
        <v>2</v>
      </c>
      <c r="AA97" s="12">
        <v>2</v>
      </c>
      <c r="AB97" s="13"/>
      <c r="AD97" s="6"/>
      <c r="AE97" s="7"/>
      <c r="AF97" s="8">
        <v>2</v>
      </c>
      <c r="AG97" s="9">
        <v>2</v>
      </c>
      <c r="AI97" s="10"/>
      <c r="AJ97" s="11"/>
      <c r="AK97" s="12"/>
      <c r="AL97" s="13"/>
      <c r="AN97" s="6"/>
      <c r="AO97" s="7"/>
      <c r="AP97" s="8"/>
      <c r="AQ97" s="9"/>
      <c r="AS97" s="10"/>
      <c r="AT97" s="11"/>
      <c r="AU97" s="12"/>
      <c r="AV97" s="13"/>
      <c r="AX97" s="6"/>
      <c r="AY97" s="7"/>
      <c r="AZ97" s="8"/>
      <c r="BA97" s="9"/>
      <c r="BC97" s="46">
        <f t="shared" si="7"/>
        <v>11</v>
      </c>
      <c r="BD97" s="47">
        <f>(SUM(BE97,'Run distances (Term 2)'!BI97,'Run distances (Term 3)'!BI97,'Run distances (Term 4)'!BI97))</f>
        <v>3.9</v>
      </c>
      <c r="BE97" s="47">
        <f t="shared" si="12"/>
        <v>3.3</v>
      </c>
    </row>
    <row r="98" spans="1:57" x14ac:dyDescent="0.25">
      <c r="A98" s="42" t="s">
        <v>207</v>
      </c>
      <c r="B98" s="43">
        <v>3</v>
      </c>
      <c r="C98" s="42" t="s">
        <v>64</v>
      </c>
      <c r="D98" t="s">
        <v>56</v>
      </c>
      <c r="E98" s="10">
        <v>1</v>
      </c>
      <c r="F98" s="11">
        <v>0</v>
      </c>
      <c r="G98" s="12">
        <v>0</v>
      </c>
      <c r="H98" s="13">
        <v>2</v>
      </c>
      <c r="J98" s="6"/>
      <c r="K98" s="7"/>
      <c r="L98" s="8"/>
      <c r="M98" s="9"/>
      <c r="O98" s="10">
        <v>1</v>
      </c>
      <c r="P98" s="11"/>
      <c r="Q98" s="12"/>
      <c r="R98" s="13"/>
      <c r="T98" s="6"/>
      <c r="U98" s="7"/>
      <c r="V98" s="8"/>
      <c r="W98" s="9"/>
      <c r="Y98" s="10"/>
      <c r="Z98" s="11"/>
      <c r="AA98" s="12"/>
      <c r="AB98" s="13"/>
      <c r="AD98" s="6"/>
      <c r="AE98" s="7"/>
      <c r="AF98" s="8"/>
      <c r="AG98" s="9"/>
      <c r="AI98" s="10"/>
      <c r="AJ98" s="11"/>
      <c r="AK98" s="12"/>
      <c r="AL98" s="13"/>
      <c r="AN98" s="6"/>
      <c r="AO98" s="7"/>
      <c r="AP98" s="8"/>
      <c r="AQ98" s="9"/>
      <c r="AS98" s="10"/>
      <c r="AT98" s="11"/>
      <c r="AU98" s="12"/>
      <c r="AV98" s="13"/>
      <c r="AX98" s="6"/>
      <c r="AY98" s="7"/>
      <c r="AZ98" s="8"/>
      <c r="BA98" s="9"/>
      <c r="BC98" s="46">
        <f t="shared" si="7"/>
        <v>4</v>
      </c>
      <c r="BD98" s="47">
        <f>(SUM(BE98,'Run distances (Term 2)'!BI98,'Run distances (Term 3)'!BI98,'Run distances (Term 4)'!BI98))</f>
        <v>9.6</v>
      </c>
      <c r="BE98" s="47">
        <f t="shared" si="12"/>
        <v>1.2</v>
      </c>
    </row>
    <row r="99" spans="1:57" x14ac:dyDescent="0.25">
      <c r="A99" s="42" t="s">
        <v>364</v>
      </c>
      <c r="B99" s="43">
        <v>3</v>
      </c>
      <c r="C99" s="42" t="s">
        <v>64</v>
      </c>
      <c r="D99" t="s">
        <v>56</v>
      </c>
      <c r="E99" s="10"/>
      <c r="F99" s="11"/>
      <c r="G99" s="12"/>
      <c r="H99" s="13"/>
      <c r="J99" s="6"/>
      <c r="K99" s="7"/>
      <c r="L99" s="8"/>
      <c r="M99" s="9"/>
      <c r="O99" s="10"/>
      <c r="P99" s="11"/>
      <c r="Q99" s="12"/>
      <c r="R99" s="13"/>
      <c r="T99" s="6"/>
      <c r="U99" s="7"/>
      <c r="V99" s="8"/>
      <c r="W99" s="9"/>
      <c r="Y99" s="10"/>
      <c r="Z99" s="11"/>
      <c r="AA99" s="12"/>
      <c r="AB99" s="13"/>
      <c r="AD99" s="6"/>
      <c r="AE99" s="7"/>
      <c r="AF99" s="8"/>
      <c r="AG99" s="9"/>
      <c r="AI99" s="10"/>
      <c r="AJ99" s="11"/>
      <c r="AK99" s="12"/>
      <c r="AL99" s="13"/>
      <c r="AN99" s="6"/>
      <c r="AO99" s="7"/>
      <c r="AP99" s="8"/>
      <c r="AQ99" s="9"/>
      <c r="AS99" s="10"/>
      <c r="AT99" s="11"/>
      <c r="AU99" s="12"/>
      <c r="AV99" s="13"/>
      <c r="AX99" s="6"/>
      <c r="AY99" s="7"/>
      <c r="AZ99" s="8"/>
      <c r="BA99" s="9"/>
      <c r="BC99" s="46">
        <f t="shared" si="7"/>
        <v>0</v>
      </c>
      <c r="BD99" s="47">
        <f>(SUM(BE99,'Run distances (Term 2)'!BI99,'Run distances (Term 3)'!BI99,'Run distances (Term 4)'!BI99))</f>
        <v>2.1</v>
      </c>
      <c r="BE99" s="47">
        <f t="shared" si="12"/>
        <v>0</v>
      </c>
    </row>
    <row r="100" spans="1:57" x14ac:dyDescent="0.25">
      <c r="A100" s="42" t="s">
        <v>206</v>
      </c>
      <c r="B100" s="43">
        <v>3</v>
      </c>
      <c r="C100" s="42" t="s">
        <v>64</v>
      </c>
      <c r="D100" t="s">
        <v>56</v>
      </c>
      <c r="E100" s="10">
        <v>0</v>
      </c>
      <c r="F100" s="11">
        <v>0</v>
      </c>
      <c r="G100" s="12">
        <v>0</v>
      </c>
      <c r="H100" s="13">
        <v>2</v>
      </c>
      <c r="J100" s="6"/>
      <c r="K100" s="7"/>
      <c r="L100" s="8">
        <v>1</v>
      </c>
      <c r="M100" s="9">
        <v>3</v>
      </c>
      <c r="O100" s="10">
        <v>1</v>
      </c>
      <c r="P100" s="11"/>
      <c r="Q100" s="12"/>
      <c r="R100" s="13">
        <v>1</v>
      </c>
      <c r="T100" s="6"/>
      <c r="U100" s="7"/>
      <c r="V100" s="8"/>
      <c r="W100" s="9"/>
      <c r="Y100" s="10"/>
      <c r="Z100" s="11">
        <v>4</v>
      </c>
      <c r="AA100" s="12"/>
      <c r="AB100" s="13"/>
      <c r="AD100" s="6"/>
      <c r="AE100" s="7"/>
      <c r="AF100" s="8"/>
      <c r="AG100" s="9"/>
      <c r="AI100" s="10"/>
      <c r="AJ100" s="11"/>
      <c r="AK100" s="12"/>
      <c r="AL100" s="13"/>
      <c r="AN100" s="6"/>
      <c r="AO100" s="7"/>
      <c r="AP100" s="8"/>
      <c r="AQ100" s="9"/>
      <c r="AS100" s="10"/>
      <c r="AT100" s="11"/>
      <c r="AU100" s="12"/>
      <c r="AV100" s="13"/>
      <c r="AX100" s="6"/>
      <c r="AY100" s="7"/>
      <c r="AZ100" s="8"/>
      <c r="BA100" s="9"/>
      <c r="BC100" s="46">
        <f t="shared" si="7"/>
        <v>12</v>
      </c>
      <c r="BD100" s="47">
        <f>(SUM(BE100,'Run distances (Term 2)'!BI100,'Run distances (Term 3)'!BI100,'Run distances (Term 4)'!BI100))</f>
        <v>22.799999999999997</v>
      </c>
      <c r="BE100" s="47">
        <f t="shared" si="12"/>
        <v>3.5999999999999996</v>
      </c>
    </row>
    <row r="101" spans="1:57" x14ac:dyDescent="0.25">
      <c r="A101" s="42" t="s">
        <v>205</v>
      </c>
      <c r="B101" s="43">
        <v>3</v>
      </c>
      <c r="C101" s="42" t="s">
        <v>64</v>
      </c>
      <c r="D101" t="s">
        <v>56</v>
      </c>
      <c r="E101" s="10">
        <v>0</v>
      </c>
      <c r="F101" s="11">
        <v>1</v>
      </c>
      <c r="G101" s="12">
        <v>3</v>
      </c>
      <c r="H101" s="13">
        <v>4</v>
      </c>
      <c r="J101" s="6">
        <v>0</v>
      </c>
      <c r="K101" s="7">
        <v>1</v>
      </c>
      <c r="L101" s="8">
        <v>1</v>
      </c>
      <c r="M101" s="9"/>
      <c r="O101" s="10">
        <v>1</v>
      </c>
      <c r="P101" s="11">
        <v>4</v>
      </c>
      <c r="Q101" s="12">
        <v>4</v>
      </c>
      <c r="R101" s="13">
        <v>9</v>
      </c>
      <c r="T101" s="6"/>
      <c r="U101" s="7"/>
      <c r="V101" s="8"/>
      <c r="W101" s="9"/>
      <c r="Y101" s="10"/>
      <c r="Z101" s="11"/>
      <c r="AA101" s="12"/>
      <c r="AB101" s="13"/>
      <c r="AD101" s="6"/>
      <c r="AE101" s="7"/>
      <c r="AF101" s="8"/>
      <c r="AG101" s="9"/>
      <c r="AI101" s="10"/>
      <c r="AJ101" s="11"/>
      <c r="AK101" s="12"/>
      <c r="AL101" s="13"/>
      <c r="AN101" s="6"/>
      <c r="AO101" s="7"/>
      <c r="AP101" s="8"/>
      <c r="AQ101" s="9"/>
      <c r="AS101" s="10"/>
      <c r="AT101" s="11"/>
      <c r="AU101" s="12"/>
      <c r="AV101" s="13"/>
      <c r="AX101" s="6"/>
      <c r="AY101" s="7"/>
      <c r="AZ101" s="8"/>
      <c r="BA101" s="9"/>
      <c r="BC101" s="46">
        <f t="shared" si="7"/>
        <v>28</v>
      </c>
      <c r="BD101" s="47">
        <f>(SUM(BE101,'Run distances (Term 2)'!BI101,'Run distances (Term 3)'!BI101,'Run distances (Term 4)'!BI101))</f>
        <v>42.6</v>
      </c>
      <c r="BE101" s="47">
        <f t="shared" si="12"/>
        <v>8.4</v>
      </c>
    </row>
    <row r="102" spans="1:57" x14ac:dyDescent="0.25">
      <c r="A102" s="42" t="s">
        <v>204</v>
      </c>
      <c r="B102" s="43">
        <v>3</v>
      </c>
      <c r="C102" s="42" t="s">
        <v>64</v>
      </c>
      <c r="D102" t="s">
        <v>56</v>
      </c>
      <c r="E102" s="10"/>
      <c r="F102" s="11"/>
      <c r="G102" s="12"/>
      <c r="H102" s="13"/>
      <c r="J102" s="6"/>
      <c r="K102" s="7"/>
      <c r="L102" s="8"/>
      <c r="M102" s="9"/>
      <c r="O102" s="10"/>
      <c r="P102" s="11"/>
      <c r="Q102" s="12"/>
      <c r="R102" s="13"/>
      <c r="T102" s="6"/>
      <c r="U102" s="7"/>
      <c r="V102" s="8"/>
      <c r="W102" s="9"/>
      <c r="Y102" s="10"/>
      <c r="Z102" s="11"/>
      <c r="AA102" s="12"/>
      <c r="AB102" s="13"/>
      <c r="AD102" s="6"/>
      <c r="AE102" s="7"/>
      <c r="AF102" s="8"/>
      <c r="AG102" s="9"/>
      <c r="AI102" s="10"/>
      <c r="AJ102" s="11"/>
      <c r="AK102" s="12"/>
      <c r="AL102" s="13"/>
      <c r="AN102" s="6"/>
      <c r="AO102" s="7"/>
      <c r="AP102" s="8"/>
      <c r="AQ102" s="9"/>
      <c r="AS102" s="10"/>
      <c r="AT102" s="11"/>
      <c r="AU102" s="12"/>
      <c r="AV102" s="13"/>
      <c r="AX102" s="6"/>
      <c r="AY102" s="7"/>
      <c r="AZ102" s="8"/>
      <c r="BA102" s="9"/>
      <c r="BC102" s="46">
        <f t="shared" si="7"/>
        <v>0</v>
      </c>
      <c r="BD102" s="47">
        <f>(SUM(BE102,'Run distances (Term 2)'!BI102,'Run distances (Term 3)'!BI102,'Run distances (Term 4)'!BI102))</f>
        <v>12.6</v>
      </c>
      <c r="BE102" s="47">
        <f t="shared" si="12"/>
        <v>0</v>
      </c>
    </row>
    <row r="103" spans="1:57" x14ac:dyDescent="0.25">
      <c r="A103" s="42" t="s">
        <v>347</v>
      </c>
      <c r="B103" s="43">
        <v>3</v>
      </c>
      <c r="C103" s="42" t="s">
        <v>64</v>
      </c>
      <c r="D103" t="s">
        <v>56</v>
      </c>
      <c r="E103" s="10"/>
      <c r="F103" s="11"/>
      <c r="G103" s="12"/>
      <c r="H103" s="13"/>
      <c r="J103" s="6"/>
      <c r="K103" s="7"/>
      <c r="L103" s="8"/>
      <c r="M103" s="9"/>
      <c r="O103" s="10"/>
      <c r="P103" s="11"/>
      <c r="Q103" s="12"/>
      <c r="R103" s="13"/>
      <c r="T103" s="6"/>
      <c r="U103" s="7"/>
      <c r="V103" s="8"/>
      <c r="W103" s="9"/>
      <c r="Y103" s="10"/>
      <c r="Z103" s="11"/>
      <c r="AA103" s="12"/>
      <c r="AB103" s="13"/>
      <c r="AD103" s="6"/>
      <c r="AE103" s="7"/>
      <c r="AF103" s="8"/>
      <c r="AG103" s="9"/>
      <c r="AI103" s="10"/>
      <c r="AJ103" s="11"/>
      <c r="AK103" s="12"/>
      <c r="AL103" s="13"/>
      <c r="AN103" s="6"/>
      <c r="AO103" s="7"/>
      <c r="AP103" s="8"/>
      <c r="AQ103" s="9"/>
      <c r="AS103" s="10"/>
      <c r="AT103" s="11"/>
      <c r="AU103" s="12"/>
      <c r="AV103" s="13"/>
      <c r="AX103" s="6"/>
      <c r="AY103" s="7"/>
      <c r="AZ103" s="8"/>
      <c r="BA103" s="9"/>
      <c r="BC103" s="46">
        <f t="shared" si="7"/>
        <v>0</v>
      </c>
      <c r="BD103" s="47">
        <f>(SUM(BE103,'Run distances (Term 2)'!BI103,'Run distances (Term 3)'!BI103,'Run distances (Term 4)'!BI103))</f>
        <v>14.399999999999999</v>
      </c>
      <c r="BE103" s="47">
        <f t="shared" si="12"/>
        <v>0</v>
      </c>
    </row>
    <row r="104" spans="1:57" x14ac:dyDescent="0.25">
      <c r="A104" s="42" t="s">
        <v>348</v>
      </c>
      <c r="B104" s="43">
        <v>3</v>
      </c>
      <c r="C104" s="42" t="s">
        <v>64</v>
      </c>
      <c r="D104" t="s">
        <v>56</v>
      </c>
      <c r="E104" s="10"/>
      <c r="F104" s="11"/>
      <c r="G104" s="12"/>
      <c r="H104" s="13"/>
      <c r="J104" s="6"/>
      <c r="K104" s="7"/>
      <c r="L104" s="8"/>
      <c r="M104" s="9"/>
      <c r="O104" s="10"/>
      <c r="P104" s="11"/>
      <c r="Q104" s="12"/>
      <c r="R104" s="13"/>
      <c r="T104" s="6"/>
      <c r="U104" s="7"/>
      <c r="V104" s="8"/>
      <c r="W104" s="9"/>
      <c r="Y104" s="10"/>
      <c r="Z104" s="11"/>
      <c r="AA104" s="12"/>
      <c r="AB104" s="13"/>
      <c r="AD104" s="6"/>
      <c r="AE104" s="7"/>
      <c r="AF104" s="8"/>
      <c r="AG104" s="9"/>
      <c r="AI104" s="10"/>
      <c r="AJ104" s="11"/>
      <c r="AK104" s="12"/>
      <c r="AL104" s="13"/>
      <c r="AN104" s="6"/>
      <c r="AO104" s="7"/>
      <c r="AP104" s="8"/>
      <c r="AQ104" s="9"/>
      <c r="AS104" s="10"/>
      <c r="AT104" s="11"/>
      <c r="AU104" s="12"/>
      <c r="AV104" s="13"/>
      <c r="AX104" s="6"/>
      <c r="AY104" s="7"/>
      <c r="AZ104" s="8"/>
      <c r="BA104" s="9"/>
      <c r="BC104" s="46">
        <f t="shared" si="7"/>
        <v>0</v>
      </c>
      <c r="BD104" s="47">
        <f>(SUM(BE104,'Run distances (Term 2)'!BI104,'Run distances (Term 3)'!BI104,'Run distances (Term 4)'!BI104))</f>
        <v>3</v>
      </c>
      <c r="BE104" s="47">
        <f t="shared" si="12"/>
        <v>0</v>
      </c>
    </row>
    <row r="105" spans="1:57" x14ac:dyDescent="0.25">
      <c r="A105" s="42" t="s">
        <v>203</v>
      </c>
      <c r="B105" s="43">
        <v>5</v>
      </c>
      <c r="C105" s="42" t="s">
        <v>64</v>
      </c>
      <c r="D105" t="s">
        <v>58</v>
      </c>
      <c r="E105" s="10"/>
      <c r="F105" s="11"/>
      <c r="G105" s="12"/>
      <c r="H105" s="13"/>
      <c r="J105" s="6">
        <v>0</v>
      </c>
      <c r="K105" s="7">
        <v>2</v>
      </c>
      <c r="L105" s="8"/>
      <c r="M105" s="9">
        <v>2</v>
      </c>
      <c r="O105" s="10"/>
      <c r="P105" s="11"/>
      <c r="Q105" s="12"/>
      <c r="R105" s="13"/>
      <c r="T105" s="6"/>
      <c r="U105" s="7">
        <v>1</v>
      </c>
      <c r="V105" s="8">
        <v>3</v>
      </c>
      <c r="W105" s="9">
        <v>2</v>
      </c>
      <c r="Y105" s="10">
        <v>2</v>
      </c>
      <c r="Z105" s="11"/>
      <c r="AA105" s="12"/>
      <c r="AB105" s="13"/>
      <c r="AD105" s="6"/>
      <c r="AE105" s="7"/>
      <c r="AF105" s="8"/>
      <c r="AG105" s="9"/>
      <c r="AI105" s="10"/>
      <c r="AJ105" s="11"/>
      <c r="AK105" s="12"/>
      <c r="AL105" s="13"/>
      <c r="AN105" s="6"/>
      <c r="AO105" s="7"/>
      <c r="AP105" s="8"/>
      <c r="AQ105" s="9"/>
      <c r="AS105" s="10"/>
      <c r="AT105" s="11"/>
      <c r="AU105" s="12"/>
      <c r="AV105" s="13"/>
      <c r="AX105" s="6"/>
      <c r="AY105" s="7"/>
      <c r="AZ105" s="8"/>
      <c r="BA105" s="9"/>
      <c r="BC105" s="46">
        <f t="shared" ref="BC105" si="14">SUM(E105:BA105)</f>
        <v>12</v>
      </c>
      <c r="BD105" s="47">
        <f>(SUM(BE105,'Run distances (Term 2)'!BI105,'Run distances (Term 3)'!BI105,'Run distances (Term 4)'!BI105))</f>
        <v>3.8999999999999995</v>
      </c>
      <c r="BE105" s="47">
        <f t="shared" si="12"/>
        <v>3.5999999999999996</v>
      </c>
    </row>
    <row r="106" spans="1:57" x14ac:dyDescent="0.25">
      <c r="A106" s="42" t="s">
        <v>365</v>
      </c>
      <c r="B106" s="43">
        <v>5</v>
      </c>
      <c r="C106" s="42" t="s">
        <v>64</v>
      </c>
      <c r="D106" t="s">
        <v>58</v>
      </c>
      <c r="E106" s="10"/>
      <c r="F106" s="11"/>
      <c r="G106" s="12"/>
      <c r="H106" s="13"/>
      <c r="J106" s="6">
        <v>0</v>
      </c>
      <c r="K106" s="7"/>
      <c r="L106" s="8"/>
      <c r="M106" s="9"/>
      <c r="O106" s="10"/>
      <c r="P106" s="11"/>
      <c r="Q106" s="12"/>
      <c r="R106" s="13"/>
      <c r="T106" s="6"/>
      <c r="U106" s="7"/>
      <c r="V106" s="8"/>
      <c r="W106" s="9"/>
      <c r="Y106" s="10"/>
      <c r="Z106" s="11"/>
      <c r="AA106" s="12"/>
      <c r="AB106" s="13"/>
      <c r="AD106" s="6"/>
      <c r="AE106" s="7"/>
      <c r="AF106" s="8"/>
      <c r="AG106" s="9"/>
      <c r="AI106" s="10"/>
      <c r="AJ106" s="11"/>
      <c r="AK106" s="12"/>
      <c r="AL106" s="13"/>
      <c r="AN106" s="6"/>
      <c r="AO106" s="7"/>
      <c r="AP106" s="8"/>
      <c r="AQ106" s="9"/>
      <c r="AS106" s="10"/>
      <c r="AT106" s="11"/>
      <c r="AU106" s="12"/>
      <c r="AV106" s="13"/>
      <c r="AX106" s="6"/>
      <c r="AY106" s="7"/>
      <c r="AZ106" s="8"/>
      <c r="BA106" s="9">
        <v>2</v>
      </c>
      <c r="BC106" s="46">
        <f t="shared" si="7"/>
        <v>2</v>
      </c>
      <c r="BD106" s="47">
        <f>(SUM(BE106,'Run distances (Term 2)'!BI106,'Run distances (Term 3)'!BI106,'Run distances (Term 4)'!BI106))</f>
        <v>16.799999999999997</v>
      </c>
      <c r="BE106" s="47">
        <f t="shared" si="12"/>
        <v>0.6</v>
      </c>
    </row>
    <row r="107" spans="1:57" x14ac:dyDescent="0.25">
      <c r="A107" s="42" t="s">
        <v>202</v>
      </c>
      <c r="B107" s="43">
        <v>5</v>
      </c>
      <c r="C107" s="42" t="s">
        <v>64</v>
      </c>
      <c r="D107" t="s">
        <v>58</v>
      </c>
      <c r="E107" s="10">
        <v>0</v>
      </c>
      <c r="F107" s="11">
        <v>0</v>
      </c>
      <c r="G107" s="12">
        <v>3</v>
      </c>
      <c r="H107" s="13">
        <v>6</v>
      </c>
      <c r="J107" s="6">
        <v>4</v>
      </c>
      <c r="K107" s="7">
        <v>5</v>
      </c>
      <c r="L107" s="8"/>
      <c r="M107" s="9"/>
      <c r="O107" s="10">
        <v>3</v>
      </c>
      <c r="P107" s="11"/>
      <c r="Q107" s="12">
        <v>4</v>
      </c>
      <c r="R107" s="13"/>
      <c r="T107" s="6">
        <v>5</v>
      </c>
      <c r="U107" s="7">
        <v>5</v>
      </c>
      <c r="V107" s="8">
        <v>6</v>
      </c>
      <c r="W107" s="9">
        <v>5</v>
      </c>
      <c r="Y107" s="10"/>
      <c r="Z107" s="11">
        <v>3</v>
      </c>
      <c r="AA107" s="12"/>
      <c r="AB107" s="13"/>
      <c r="AD107" s="6"/>
      <c r="AE107" s="7"/>
      <c r="AF107" s="8"/>
      <c r="AG107" s="9"/>
      <c r="AI107" s="10"/>
      <c r="AJ107" s="11"/>
      <c r="AK107" s="12"/>
      <c r="AL107" s="13">
        <v>2</v>
      </c>
      <c r="AN107" s="6"/>
      <c r="AO107" s="7"/>
      <c r="AP107" s="8"/>
      <c r="AQ107" s="9">
        <v>3</v>
      </c>
      <c r="AS107" s="10"/>
      <c r="AT107" s="11"/>
      <c r="AU107" s="12"/>
      <c r="AV107" s="13"/>
      <c r="AX107" s="6"/>
      <c r="AY107" s="7"/>
      <c r="AZ107" s="8"/>
      <c r="BA107" s="9"/>
      <c r="BC107" s="46">
        <f t="shared" si="7"/>
        <v>54</v>
      </c>
      <c r="BD107" s="47">
        <f>(SUM(BE107,'Run distances (Term 2)'!BI107,'Run distances (Term 3)'!BI107,'Run distances (Term 4)'!BI107))</f>
        <v>23.4</v>
      </c>
      <c r="BE107" s="47">
        <f t="shared" si="12"/>
        <v>16.2</v>
      </c>
    </row>
    <row r="108" spans="1:57" x14ac:dyDescent="0.25">
      <c r="A108" s="42" t="s">
        <v>201</v>
      </c>
      <c r="B108" s="43">
        <v>5</v>
      </c>
      <c r="C108" s="42" t="s">
        <v>64</v>
      </c>
      <c r="D108" t="s">
        <v>58</v>
      </c>
      <c r="E108" s="10"/>
      <c r="F108" s="11"/>
      <c r="G108" s="12"/>
      <c r="H108" s="13"/>
      <c r="J108" s="6">
        <v>4</v>
      </c>
      <c r="K108" s="7">
        <v>0</v>
      </c>
      <c r="L108" s="8"/>
      <c r="M108" s="9"/>
      <c r="O108" s="10">
        <v>3</v>
      </c>
      <c r="P108" s="11"/>
      <c r="Q108" s="12">
        <v>5</v>
      </c>
      <c r="R108" s="13"/>
      <c r="T108" s="6">
        <v>2</v>
      </c>
      <c r="U108" s="7"/>
      <c r="V108" s="8"/>
      <c r="W108" s="9"/>
      <c r="Y108" s="10"/>
      <c r="Z108" s="11">
        <v>4</v>
      </c>
      <c r="AA108" s="12"/>
      <c r="AB108" s="13"/>
      <c r="AD108" s="6"/>
      <c r="AE108" s="7"/>
      <c r="AF108" s="8"/>
      <c r="AG108" s="9"/>
      <c r="AI108" s="10"/>
      <c r="AJ108" s="11">
        <v>2</v>
      </c>
      <c r="AK108" s="12"/>
      <c r="AL108" s="13">
        <v>6</v>
      </c>
      <c r="AN108" s="6"/>
      <c r="AO108" s="7"/>
      <c r="AP108" s="8">
        <v>3</v>
      </c>
      <c r="AQ108" s="9">
        <v>3</v>
      </c>
      <c r="AS108" s="10"/>
      <c r="AT108" s="11"/>
      <c r="AU108" s="12"/>
      <c r="AV108" s="13"/>
      <c r="AX108" s="6">
        <v>3</v>
      </c>
      <c r="AY108" s="7"/>
      <c r="AZ108" s="8"/>
      <c r="BA108" s="9"/>
      <c r="BC108" s="46">
        <f t="shared" si="7"/>
        <v>35</v>
      </c>
      <c r="BD108" s="47">
        <f>(SUM(BE108,'Run distances (Term 2)'!BI108,'Run distances (Term 3)'!BI108,'Run distances (Term 4)'!BI108))</f>
        <v>25.799999999999997</v>
      </c>
      <c r="BE108" s="47">
        <f t="shared" si="12"/>
        <v>10.5</v>
      </c>
    </row>
    <row r="109" spans="1:57" x14ac:dyDescent="0.25">
      <c r="A109" s="42" t="s">
        <v>200</v>
      </c>
      <c r="B109" s="43">
        <v>5</v>
      </c>
      <c r="C109" s="42" t="s">
        <v>64</v>
      </c>
      <c r="D109" t="s">
        <v>58</v>
      </c>
      <c r="E109" s="10">
        <v>0</v>
      </c>
      <c r="F109" s="11">
        <v>0</v>
      </c>
      <c r="G109" s="12">
        <v>3</v>
      </c>
      <c r="H109" s="13">
        <v>1</v>
      </c>
      <c r="J109" s="6"/>
      <c r="K109" s="7"/>
      <c r="L109" s="8"/>
      <c r="M109" s="9"/>
      <c r="O109" s="10"/>
      <c r="P109" s="11"/>
      <c r="Q109" s="12">
        <v>3</v>
      </c>
      <c r="R109" s="13">
        <v>3</v>
      </c>
      <c r="T109" s="6"/>
      <c r="U109" s="7"/>
      <c r="V109" s="8"/>
      <c r="W109" s="9"/>
      <c r="Y109" s="10"/>
      <c r="Z109" s="11"/>
      <c r="AA109" s="12"/>
      <c r="AB109" s="13"/>
      <c r="AD109" s="6"/>
      <c r="AE109" s="7"/>
      <c r="AF109" s="8"/>
      <c r="AG109" s="9"/>
      <c r="AI109" s="10"/>
      <c r="AJ109" s="11"/>
      <c r="AK109" s="12">
        <v>4</v>
      </c>
      <c r="AL109" s="13"/>
      <c r="AN109" s="6"/>
      <c r="AO109" s="7"/>
      <c r="AP109" s="8">
        <v>1</v>
      </c>
      <c r="AQ109" s="9"/>
      <c r="AS109" s="10"/>
      <c r="AT109" s="11"/>
      <c r="AU109" s="12"/>
      <c r="AV109" s="13"/>
      <c r="AX109" s="6"/>
      <c r="AY109" s="7"/>
      <c r="AZ109" s="8">
        <v>4</v>
      </c>
      <c r="BA109" s="9"/>
      <c r="BC109" s="46">
        <f t="shared" si="7"/>
        <v>19</v>
      </c>
      <c r="BD109" s="47">
        <f>(SUM(BE109,'Run distances (Term 2)'!BI109,'Run distances (Term 3)'!BI109,'Run distances (Term 4)'!BI109))</f>
        <v>16.8</v>
      </c>
      <c r="BE109" s="47">
        <f t="shared" si="12"/>
        <v>5.7</v>
      </c>
    </row>
    <row r="110" spans="1:57" x14ac:dyDescent="0.25">
      <c r="A110" s="42" t="s">
        <v>366</v>
      </c>
      <c r="B110" s="43">
        <v>4</v>
      </c>
      <c r="C110" s="42" t="s">
        <v>64</v>
      </c>
      <c r="D110" t="s">
        <v>55</v>
      </c>
      <c r="E110" s="10">
        <v>0</v>
      </c>
      <c r="F110" s="11">
        <v>0</v>
      </c>
      <c r="G110" s="12"/>
      <c r="H110" s="13"/>
      <c r="J110" s="6"/>
      <c r="K110" s="7"/>
      <c r="L110" s="8"/>
      <c r="M110" s="9"/>
      <c r="O110" s="10"/>
      <c r="P110" s="11"/>
      <c r="Q110" s="12"/>
      <c r="R110" s="13"/>
      <c r="T110" s="6">
        <v>1</v>
      </c>
      <c r="U110" s="7"/>
      <c r="V110" s="8"/>
      <c r="W110" s="9"/>
      <c r="Y110" s="10"/>
      <c r="Z110" s="11"/>
      <c r="AA110" s="12"/>
      <c r="AB110" s="13"/>
      <c r="AD110" s="6"/>
      <c r="AE110" s="7"/>
      <c r="AF110" s="8"/>
      <c r="AG110" s="9"/>
      <c r="AI110" s="10"/>
      <c r="AJ110" s="11"/>
      <c r="AK110" s="12"/>
      <c r="AL110" s="13"/>
      <c r="AN110" s="6"/>
      <c r="AO110" s="7"/>
      <c r="AP110" s="8"/>
      <c r="AQ110" s="9"/>
      <c r="AS110" s="10"/>
      <c r="AT110" s="11"/>
      <c r="AU110" s="12"/>
      <c r="AV110" s="13"/>
      <c r="AX110" s="6"/>
      <c r="AY110" s="7"/>
      <c r="AZ110" s="8"/>
      <c r="BA110" s="9"/>
      <c r="BC110" s="46">
        <f t="shared" ref="BC110:BC165" si="15">SUM(E110:BA110)</f>
        <v>1</v>
      </c>
      <c r="BD110" s="47">
        <f>(SUM(BE110,'Run distances (Term 2)'!BI110,'Run distances (Term 3)'!BI110,'Run distances (Term 4)'!BI110))</f>
        <v>1.2</v>
      </c>
      <c r="BE110" s="47">
        <f t="shared" si="12"/>
        <v>0.3</v>
      </c>
    </row>
    <row r="111" spans="1:57" x14ac:dyDescent="0.25">
      <c r="A111" s="42" t="s">
        <v>198</v>
      </c>
      <c r="B111" s="43">
        <v>4</v>
      </c>
      <c r="C111" s="42" t="s">
        <v>64</v>
      </c>
      <c r="D111" t="s">
        <v>55</v>
      </c>
      <c r="E111" s="10">
        <v>0</v>
      </c>
      <c r="F111" s="11">
        <v>0</v>
      </c>
      <c r="G111" s="12">
        <v>1</v>
      </c>
      <c r="H111" s="13">
        <v>3</v>
      </c>
      <c r="J111" s="6">
        <v>0</v>
      </c>
      <c r="K111" s="7">
        <v>1</v>
      </c>
      <c r="L111" s="8"/>
      <c r="M111" s="9">
        <v>4</v>
      </c>
      <c r="O111" s="10"/>
      <c r="P111" s="11"/>
      <c r="Q111" s="12"/>
      <c r="R111" s="13"/>
      <c r="T111" s="6"/>
      <c r="U111" s="7">
        <v>1</v>
      </c>
      <c r="V111" s="8">
        <v>4</v>
      </c>
      <c r="W111" s="9"/>
      <c r="Y111" s="10"/>
      <c r="Z111" s="11"/>
      <c r="AA111" s="12"/>
      <c r="AB111" s="13"/>
      <c r="AD111" s="6"/>
      <c r="AE111" s="7"/>
      <c r="AF111" s="8"/>
      <c r="AG111" s="9">
        <v>4</v>
      </c>
      <c r="AI111" s="10"/>
      <c r="AJ111" s="11"/>
      <c r="AK111" s="12"/>
      <c r="AL111" s="13"/>
      <c r="AN111" s="6"/>
      <c r="AO111" s="7"/>
      <c r="AP111" s="8"/>
      <c r="AQ111" s="9"/>
      <c r="AS111" s="10"/>
      <c r="AT111" s="11"/>
      <c r="AU111" s="12"/>
      <c r="AV111" s="13"/>
      <c r="AX111" s="6"/>
      <c r="AY111" s="7"/>
      <c r="AZ111" s="8"/>
      <c r="BA111" s="9"/>
      <c r="BC111" s="46">
        <f t="shared" si="15"/>
        <v>18</v>
      </c>
      <c r="BD111" s="47">
        <f>(SUM(BE111,'Run distances (Term 2)'!BI111,'Run distances (Term 3)'!BI111,'Run distances (Term 4)'!BI111))</f>
        <v>7.5</v>
      </c>
      <c r="BE111" s="47">
        <f t="shared" si="12"/>
        <v>5.3999999999999995</v>
      </c>
    </row>
    <row r="112" spans="1:57" x14ac:dyDescent="0.25">
      <c r="A112" s="42" t="s">
        <v>197</v>
      </c>
      <c r="B112" s="43">
        <v>4</v>
      </c>
      <c r="C112" s="42" t="s">
        <v>64</v>
      </c>
      <c r="D112" t="s">
        <v>55</v>
      </c>
      <c r="E112" s="10">
        <v>0</v>
      </c>
      <c r="F112" s="11">
        <v>1</v>
      </c>
      <c r="G112" s="12">
        <v>0</v>
      </c>
      <c r="H112" s="13">
        <v>2</v>
      </c>
      <c r="J112" s="6"/>
      <c r="K112" s="7"/>
      <c r="L112" s="8"/>
      <c r="M112" s="9"/>
      <c r="O112" s="10">
        <v>1</v>
      </c>
      <c r="P112" s="11"/>
      <c r="Q112" s="12"/>
      <c r="R112" s="13"/>
      <c r="T112" s="6"/>
      <c r="U112" s="7"/>
      <c r="V112" s="8"/>
      <c r="W112" s="9"/>
      <c r="Y112" s="10"/>
      <c r="Z112" s="11"/>
      <c r="AA112" s="12"/>
      <c r="AB112" s="13"/>
      <c r="AD112" s="6"/>
      <c r="AE112" s="7"/>
      <c r="AF112" s="8"/>
      <c r="AG112" s="9"/>
      <c r="AI112" s="10"/>
      <c r="AJ112" s="11"/>
      <c r="AK112" s="12"/>
      <c r="AL112" s="13"/>
      <c r="AN112" s="6"/>
      <c r="AO112" s="7"/>
      <c r="AP112" s="8"/>
      <c r="AQ112" s="9"/>
      <c r="AS112" s="10"/>
      <c r="AT112" s="11"/>
      <c r="AU112" s="12"/>
      <c r="AV112" s="13"/>
      <c r="AX112" s="6"/>
      <c r="AY112" s="7"/>
      <c r="AZ112" s="8"/>
      <c r="BA112" s="9"/>
      <c r="BC112" s="46">
        <f t="shared" ref="BC112" si="16">SUM(E112:BA112)</f>
        <v>4</v>
      </c>
      <c r="BD112" s="47">
        <f>(SUM(BE112,'Run distances (Term 2)'!BI112,'Run distances (Term 3)'!BI112,'Run distances (Term 4)'!BI112))</f>
        <v>2.7</v>
      </c>
      <c r="BE112" s="47">
        <f t="shared" si="12"/>
        <v>1.2</v>
      </c>
    </row>
    <row r="113" spans="1:57" x14ac:dyDescent="0.25">
      <c r="A113" s="42" t="s">
        <v>377</v>
      </c>
      <c r="B113" s="43">
        <v>4</v>
      </c>
      <c r="C113" s="42" t="s">
        <v>64</v>
      </c>
      <c r="D113" t="s">
        <v>55</v>
      </c>
      <c r="E113" s="10">
        <v>0</v>
      </c>
      <c r="F113" s="11"/>
      <c r="G113" s="12">
        <v>0</v>
      </c>
      <c r="H113" s="13"/>
      <c r="J113" s="6"/>
      <c r="K113" s="7"/>
      <c r="L113" s="8"/>
      <c r="M113" s="9"/>
      <c r="O113" s="10"/>
      <c r="P113" s="11"/>
      <c r="Q113" s="12"/>
      <c r="R113" s="13">
        <v>2</v>
      </c>
      <c r="T113" s="6"/>
      <c r="U113" s="7"/>
      <c r="V113" s="8"/>
      <c r="W113" s="9"/>
      <c r="Y113" s="10"/>
      <c r="Z113" s="11"/>
      <c r="AA113" s="12"/>
      <c r="AB113" s="13"/>
      <c r="AD113" s="6"/>
      <c r="AE113" s="7">
        <v>1</v>
      </c>
      <c r="AF113" s="8"/>
      <c r="AG113" s="9"/>
      <c r="AI113" s="10"/>
      <c r="AJ113" s="11"/>
      <c r="AK113" s="12"/>
      <c r="AL113" s="13"/>
      <c r="AN113" s="6"/>
      <c r="AO113" s="7"/>
      <c r="AP113" s="8"/>
      <c r="AQ113" s="9"/>
      <c r="AS113" s="10"/>
      <c r="AT113" s="11"/>
      <c r="AU113" s="12"/>
      <c r="AV113" s="13"/>
      <c r="AX113" s="6"/>
      <c r="AY113" s="7"/>
      <c r="AZ113" s="8"/>
      <c r="BA113" s="9"/>
      <c r="BC113" s="46">
        <f t="shared" si="15"/>
        <v>3</v>
      </c>
      <c r="BD113" s="47">
        <f>(SUM(BE113,'Run distances (Term 2)'!BI113,'Run distances (Term 3)'!BI113,'Run distances (Term 4)'!BI113))</f>
        <v>4.5</v>
      </c>
      <c r="BE113" s="47">
        <f t="shared" si="12"/>
        <v>0.89999999999999991</v>
      </c>
    </row>
    <row r="114" spans="1:57" x14ac:dyDescent="0.25">
      <c r="A114" s="42" t="s">
        <v>195</v>
      </c>
      <c r="B114" s="43">
        <v>4</v>
      </c>
      <c r="C114" s="42" t="s">
        <v>64</v>
      </c>
      <c r="D114" t="s">
        <v>55</v>
      </c>
      <c r="E114" s="10"/>
      <c r="F114" s="11"/>
      <c r="G114" s="12"/>
      <c r="H114" s="13"/>
      <c r="J114" s="6">
        <v>2</v>
      </c>
      <c r="K114" s="7">
        <v>5</v>
      </c>
      <c r="L114" s="8"/>
      <c r="M114" s="9"/>
      <c r="O114" s="10">
        <v>4</v>
      </c>
      <c r="P114" s="11">
        <v>3</v>
      </c>
      <c r="Q114" s="12"/>
      <c r="R114" s="13"/>
      <c r="T114" s="6">
        <v>3</v>
      </c>
      <c r="U114" s="7"/>
      <c r="V114" s="8"/>
      <c r="W114" s="9"/>
      <c r="Y114" s="10"/>
      <c r="Z114" s="11"/>
      <c r="AA114" s="12"/>
      <c r="AB114" s="13"/>
      <c r="AD114" s="6"/>
      <c r="AE114" s="7"/>
      <c r="AF114" s="8"/>
      <c r="AG114" s="9"/>
      <c r="AI114" s="10"/>
      <c r="AJ114" s="11"/>
      <c r="AK114" s="12"/>
      <c r="AL114" s="13"/>
      <c r="AN114" s="6"/>
      <c r="AO114" s="7"/>
      <c r="AP114" s="8"/>
      <c r="AQ114" s="9"/>
      <c r="AS114" s="10"/>
      <c r="AT114" s="11"/>
      <c r="AU114" s="12"/>
      <c r="AV114" s="13"/>
      <c r="AX114" s="6"/>
      <c r="AY114" s="7"/>
      <c r="AZ114" s="8"/>
      <c r="BA114" s="9"/>
      <c r="BC114" s="46">
        <f t="shared" si="15"/>
        <v>17</v>
      </c>
      <c r="BD114" s="47">
        <f>(SUM(BE114,'Run distances (Term 2)'!BI114,'Run distances (Term 3)'!BI114,'Run distances (Term 4)'!BI114))</f>
        <v>17.7</v>
      </c>
      <c r="BE114" s="47">
        <f t="shared" si="12"/>
        <v>5.0999999999999996</v>
      </c>
    </row>
    <row r="115" spans="1:57" x14ac:dyDescent="0.25">
      <c r="A115" s="42" t="s">
        <v>194</v>
      </c>
      <c r="B115" s="43">
        <v>4</v>
      </c>
      <c r="C115" s="42" t="s">
        <v>64</v>
      </c>
      <c r="D115" t="s">
        <v>55</v>
      </c>
      <c r="E115" s="10">
        <v>3</v>
      </c>
      <c r="F115" s="11">
        <v>4</v>
      </c>
      <c r="G115" s="12">
        <v>6</v>
      </c>
      <c r="H115" s="13">
        <v>0</v>
      </c>
      <c r="J115" s="6">
        <v>4</v>
      </c>
      <c r="K115" s="7">
        <v>1</v>
      </c>
      <c r="L115" s="8"/>
      <c r="M115" s="9">
        <v>2</v>
      </c>
      <c r="O115" s="10"/>
      <c r="P115" s="11">
        <v>2</v>
      </c>
      <c r="Q115" s="12"/>
      <c r="R115" s="13"/>
      <c r="T115" s="6">
        <v>5</v>
      </c>
      <c r="U115" s="7">
        <v>6</v>
      </c>
      <c r="V115" s="8"/>
      <c r="W115" s="9">
        <v>3</v>
      </c>
      <c r="Y115" s="10">
        <v>4</v>
      </c>
      <c r="Z115" s="11"/>
      <c r="AA115" s="12">
        <v>6</v>
      </c>
      <c r="AB115" s="13"/>
      <c r="AD115" s="6"/>
      <c r="AE115" s="7"/>
      <c r="AF115" s="8">
        <v>6</v>
      </c>
      <c r="AG115" s="9">
        <v>4</v>
      </c>
      <c r="AI115" s="10">
        <v>2</v>
      </c>
      <c r="AJ115" s="11"/>
      <c r="AK115" s="12">
        <v>2</v>
      </c>
      <c r="AL115" s="13">
        <v>4</v>
      </c>
      <c r="AN115" s="6"/>
      <c r="AO115" s="7">
        <v>7</v>
      </c>
      <c r="AP115" s="8">
        <v>6</v>
      </c>
      <c r="AQ115" s="9">
        <v>4</v>
      </c>
      <c r="AS115" s="10"/>
      <c r="AT115" s="11">
        <v>5</v>
      </c>
      <c r="AU115" s="12"/>
      <c r="AV115" s="13"/>
      <c r="AX115" s="6"/>
      <c r="AY115" s="7"/>
      <c r="AZ115" s="8"/>
      <c r="BA115" s="9"/>
      <c r="BC115" s="46">
        <f t="shared" si="15"/>
        <v>86</v>
      </c>
      <c r="BD115" s="47">
        <f>(SUM(BE115,'Run distances (Term 2)'!BI115,'Run distances (Term 3)'!BI115,'Run distances (Term 4)'!BI115))</f>
        <v>38.4</v>
      </c>
      <c r="BE115" s="47">
        <f t="shared" si="12"/>
        <v>25.8</v>
      </c>
    </row>
    <row r="116" spans="1:57" x14ac:dyDescent="0.25">
      <c r="A116" s="42" t="s">
        <v>193</v>
      </c>
      <c r="B116" s="43">
        <v>6</v>
      </c>
      <c r="C116" s="42" t="s">
        <v>64</v>
      </c>
      <c r="D116" t="s">
        <v>50</v>
      </c>
      <c r="E116" s="10"/>
      <c r="F116" s="11"/>
      <c r="G116" s="12"/>
      <c r="H116" s="13"/>
      <c r="J116" s="6"/>
      <c r="K116" s="7"/>
      <c r="L116" s="8">
        <v>2</v>
      </c>
      <c r="M116" s="9">
        <v>2</v>
      </c>
      <c r="O116" s="10">
        <v>2</v>
      </c>
      <c r="P116" s="11">
        <v>2</v>
      </c>
      <c r="Q116" s="12">
        <v>4</v>
      </c>
      <c r="R116" s="13">
        <v>1</v>
      </c>
      <c r="T116" s="6">
        <v>2</v>
      </c>
      <c r="U116" s="7">
        <v>3</v>
      </c>
      <c r="V116" s="8">
        <v>3</v>
      </c>
      <c r="W116" s="9">
        <v>3</v>
      </c>
      <c r="Y116" s="10">
        <v>2</v>
      </c>
      <c r="Z116" s="11"/>
      <c r="AA116" s="12"/>
      <c r="AB116" s="13"/>
      <c r="AD116" s="6"/>
      <c r="AE116" s="7"/>
      <c r="AF116" s="8"/>
      <c r="AG116" s="9"/>
      <c r="AI116" s="10"/>
      <c r="AJ116" s="11"/>
      <c r="AK116" s="12"/>
      <c r="AL116" s="13"/>
      <c r="AN116" s="6"/>
      <c r="AO116" s="7"/>
      <c r="AP116" s="8"/>
      <c r="AQ116" s="9"/>
      <c r="AS116" s="10"/>
      <c r="AT116" s="11"/>
      <c r="AU116" s="12"/>
      <c r="AV116" s="13"/>
      <c r="AX116" s="6"/>
      <c r="AY116" s="7"/>
      <c r="AZ116" s="8"/>
      <c r="BA116" s="9">
        <v>3</v>
      </c>
      <c r="BC116" s="46">
        <f t="shared" si="15"/>
        <v>29</v>
      </c>
      <c r="BD116" s="47">
        <f>(SUM(BE116,'Run distances (Term 2)'!BI116,'Run distances (Term 3)'!BI116,'Run distances (Term 4)'!BI116))</f>
        <v>19.799999999999997</v>
      </c>
      <c r="BE116" s="47">
        <f t="shared" si="12"/>
        <v>8.6999999999999993</v>
      </c>
    </row>
    <row r="117" spans="1:57" x14ac:dyDescent="0.25">
      <c r="A117" s="42" t="s">
        <v>192</v>
      </c>
      <c r="B117" s="43">
        <v>6</v>
      </c>
      <c r="C117" s="42" t="s">
        <v>64</v>
      </c>
      <c r="D117" t="s">
        <v>50</v>
      </c>
      <c r="E117" s="10"/>
      <c r="F117" s="11"/>
      <c r="G117" s="12"/>
      <c r="H117" s="13"/>
      <c r="J117" s="6"/>
      <c r="K117" s="7"/>
      <c r="L117" s="8"/>
      <c r="M117" s="9">
        <v>6</v>
      </c>
      <c r="O117" s="10"/>
      <c r="P117" s="11"/>
      <c r="Q117" s="12"/>
      <c r="R117" s="13"/>
      <c r="T117" s="6"/>
      <c r="U117" s="7"/>
      <c r="V117" s="8"/>
      <c r="W117" s="9"/>
      <c r="Y117" s="10"/>
      <c r="Z117" s="11"/>
      <c r="AA117" s="12"/>
      <c r="AB117" s="13"/>
      <c r="AD117" s="6"/>
      <c r="AE117" s="7"/>
      <c r="AF117" s="8"/>
      <c r="AG117" s="9"/>
      <c r="AI117" s="10"/>
      <c r="AJ117" s="11"/>
      <c r="AK117" s="12">
        <v>4</v>
      </c>
      <c r="AL117" s="13"/>
      <c r="AN117" s="6"/>
      <c r="AO117" s="7"/>
      <c r="AP117" s="8"/>
      <c r="AQ117" s="9"/>
      <c r="AS117" s="10"/>
      <c r="AT117" s="11"/>
      <c r="AU117" s="12"/>
      <c r="AV117" s="13"/>
      <c r="AX117" s="6"/>
      <c r="AY117" s="7"/>
      <c r="AZ117" s="8"/>
      <c r="BA117" s="9"/>
      <c r="BC117" s="46">
        <f t="shared" si="15"/>
        <v>10</v>
      </c>
      <c r="BD117" s="47">
        <f>(SUM(BE117,'Run distances (Term 2)'!BI117,'Run distances (Term 3)'!BI117,'Run distances (Term 4)'!BI117))</f>
        <v>6</v>
      </c>
      <c r="BE117" s="47">
        <f t="shared" si="12"/>
        <v>3</v>
      </c>
    </row>
    <row r="118" spans="1:57" x14ac:dyDescent="0.25">
      <c r="A118" s="42" t="s">
        <v>191</v>
      </c>
      <c r="B118" s="43">
        <v>7</v>
      </c>
      <c r="C118" s="42" t="s">
        <v>64</v>
      </c>
      <c r="D118" t="s">
        <v>50</v>
      </c>
      <c r="E118" s="10">
        <v>0</v>
      </c>
      <c r="F118" s="11">
        <v>0</v>
      </c>
      <c r="G118" s="12">
        <v>6</v>
      </c>
      <c r="H118" s="13">
        <v>5</v>
      </c>
      <c r="J118" s="6">
        <v>5</v>
      </c>
      <c r="K118" s="7">
        <v>0</v>
      </c>
      <c r="L118" s="8"/>
      <c r="M118" s="9"/>
      <c r="O118" s="10"/>
      <c r="P118" s="11"/>
      <c r="Q118" s="12">
        <v>5</v>
      </c>
      <c r="R118" s="13"/>
      <c r="T118" s="6"/>
      <c r="U118" s="7"/>
      <c r="V118" s="8">
        <v>2</v>
      </c>
      <c r="W118" s="9">
        <v>1</v>
      </c>
      <c r="Y118" s="10"/>
      <c r="Z118" s="11">
        <v>4</v>
      </c>
      <c r="AA118" s="12">
        <v>3</v>
      </c>
      <c r="AB118" s="13"/>
      <c r="AD118" s="6"/>
      <c r="AE118" s="7"/>
      <c r="AF118" s="8">
        <v>3</v>
      </c>
      <c r="AG118" s="9"/>
      <c r="AI118" s="10">
        <v>1</v>
      </c>
      <c r="AJ118" s="11">
        <v>3</v>
      </c>
      <c r="AK118" s="12"/>
      <c r="AL118" s="13">
        <v>5</v>
      </c>
      <c r="AN118" s="6"/>
      <c r="AO118" s="7"/>
      <c r="AP118" s="8">
        <v>1</v>
      </c>
      <c r="AQ118" s="9">
        <v>2</v>
      </c>
      <c r="AS118" s="10"/>
      <c r="AT118" s="11"/>
      <c r="AU118" s="12"/>
      <c r="AV118" s="13"/>
      <c r="AX118" s="6"/>
      <c r="AY118" s="7"/>
      <c r="AZ118" s="8"/>
      <c r="BA118" s="9"/>
      <c r="BC118" s="46">
        <f t="shared" ref="BC118:BC120" si="17">SUM(E118:BA118)</f>
        <v>46</v>
      </c>
      <c r="BD118" s="47">
        <f>(SUM(BE118,'Run distances (Term 2)'!BI118,'Run distances (Term 3)'!BI118,'Run distances (Term 4)'!BI118))</f>
        <v>18.599999999999998</v>
      </c>
      <c r="BE118" s="47">
        <f t="shared" si="12"/>
        <v>13.799999999999999</v>
      </c>
    </row>
    <row r="119" spans="1:57" x14ac:dyDescent="0.25">
      <c r="A119" s="42" t="s">
        <v>367</v>
      </c>
      <c r="B119" s="43">
        <v>7</v>
      </c>
      <c r="C119" s="42" t="s">
        <v>64</v>
      </c>
      <c r="D119" t="s">
        <v>50</v>
      </c>
      <c r="E119" s="10">
        <v>0</v>
      </c>
      <c r="F119" s="11">
        <v>0</v>
      </c>
      <c r="G119" s="12"/>
      <c r="H119" s="13"/>
      <c r="J119" s="6"/>
      <c r="K119" s="7">
        <v>0</v>
      </c>
      <c r="L119" s="8"/>
      <c r="M119" s="9"/>
      <c r="O119" s="10"/>
      <c r="P119" s="11"/>
      <c r="Q119" s="12"/>
      <c r="R119" s="13">
        <v>4</v>
      </c>
      <c r="T119" s="6"/>
      <c r="U119" s="7"/>
      <c r="V119" s="8">
        <v>3</v>
      </c>
      <c r="W119" s="9">
        <v>3</v>
      </c>
      <c r="Y119" s="10"/>
      <c r="Z119" s="11"/>
      <c r="AA119" s="12"/>
      <c r="AB119" s="13"/>
      <c r="AD119" s="6"/>
      <c r="AE119" s="7"/>
      <c r="AF119" s="8">
        <v>5</v>
      </c>
      <c r="AG119" s="9">
        <v>3</v>
      </c>
      <c r="AI119" s="10"/>
      <c r="AJ119" s="11"/>
      <c r="AK119" s="12">
        <v>4</v>
      </c>
      <c r="AL119" s="13">
        <v>2</v>
      </c>
      <c r="AN119" s="6"/>
      <c r="AO119" s="7"/>
      <c r="AP119" s="8">
        <v>5</v>
      </c>
      <c r="AQ119" s="9">
        <v>1</v>
      </c>
      <c r="AS119" s="10"/>
      <c r="AT119" s="11">
        <v>6</v>
      </c>
      <c r="AU119" s="12"/>
      <c r="AV119" s="13"/>
      <c r="AX119" s="6">
        <v>5</v>
      </c>
      <c r="AY119" s="7"/>
      <c r="AZ119" s="8">
        <v>6</v>
      </c>
      <c r="BA119" s="9"/>
      <c r="BC119" s="46">
        <f t="shared" si="17"/>
        <v>47</v>
      </c>
      <c r="BD119" s="47">
        <f>(SUM(BE119,'Run distances (Term 2)'!BI119,'Run distances (Term 3)'!BI119,'Run distances (Term 4)'!BI119))</f>
        <v>45.3</v>
      </c>
      <c r="BE119" s="47">
        <f t="shared" si="12"/>
        <v>14.1</v>
      </c>
    </row>
    <row r="120" spans="1:57" x14ac:dyDescent="0.25">
      <c r="A120" s="42" t="s">
        <v>368</v>
      </c>
      <c r="B120" s="43">
        <v>7</v>
      </c>
      <c r="C120" s="42" t="s">
        <v>64</v>
      </c>
      <c r="D120" t="s">
        <v>50</v>
      </c>
      <c r="E120" s="10">
        <v>0</v>
      </c>
      <c r="F120" s="11">
        <v>0</v>
      </c>
      <c r="G120" s="12"/>
      <c r="H120" s="13"/>
      <c r="J120" s="6"/>
      <c r="K120" s="7"/>
      <c r="L120" s="8"/>
      <c r="M120" s="9"/>
      <c r="O120" s="10"/>
      <c r="P120" s="11"/>
      <c r="Q120" s="12"/>
      <c r="R120" s="13"/>
      <c r="T120" s="6"/>
      <c r="U120" s="7"/>
      <c r="V120" s="8"/>
      <c r="W120" s="9"/>
      <c r="Y120" s="10"/>
      <c r="Z120" s="11"/>
      <c r="AA120" s="12">
        <v>1</v>
      </c>
      <c r="AB120" s="13"/>
      <c r="AD120" s="6"/>
      <c r="AE120" s="7"/>
      <c r="AF120" s="8"/>
      <c r="AG120" s="9"/>
      <c r="AI120" s="10"/>
      <c r="AJ120" s="11"/>
      <c r="AK120" s="12"/>
      <c r="AL120" s="13"/>
      <c r="AN120" s="6"/>
      <c r="AO120" s="7"/>
      <c r="AP120" s="8"/>
      <c r="AQ120" s="9"/>
      <c r="AS120" s="10"/>
      <c r="AT120" s="11"/>
      <c r="AU120" s="12"/>
      <c r="AV120" s="13"/>
      <c r="AX120" s="6"/>
      <c r="AY120" s="7"/>
      <c r="AZ120" s="8"/>
      <c r="BA120" s="9"/>
      <c r="BC120" s="46">
        <f t="shared" si="17"/>
        <v>1</v>
      </c>
      <c r="BD120" s="47">
        <f>(SUM(BE120,'Run distances (Term 2)'!BI120,'Run distances (Term 3)'!BI120,'Run distances (Term 4)'!BI120))</f>
        <v>1.5</v>
      </c>
      <c r="BE120" s="47">
        <f t="shared" si="12"/>
        <v>0.3</v>
      </c>
    </row>
    <row r="121" spans="1:57" x14ac:dyDescent="0.25">
      <c r="A121" s="42" t="s">
        <v>378</v>
      </c>
      <c r="B121" s="43">
        <v>7</v>
      </c>
      <c r="C121" s="42" t="s">
        <v>64</v>
      </c>
      <c r="D121" t="s">
        <v>50</v>
      </c>
      <c r="E121" s="10">
        <v>0</v>
      </c>
      <c r="F121" s="11">
        <v>0</v>
      </c>
      <c r="G121" s="12"/>
      <c r="H121" s="13"/>
      <c r="J121" s="6"/>
      <c r="K121" s="7"/>
      <c r="L121" s="8"/>
      <c r="M121" s="9"/>
      <c r="O121" s="10"/>
      <c r="P121" s="11"/>
      <c r="Q121" s="12"/>
      <c r="R121" s="13"/>
      <c r="T121" s="6"/>
      <c r="U121" s="7"/>
      <c r="V121" s="8"/>
      <c r="W121" s="9"/>
      <c r="Y121" s="10"/>
      <c r="Z121" s="11"/>
      <c r="AA121" s="12"/>
      <c r="AB121" s="13"/>
      <c r="AD121" s="6"/>
      <c r="AE121" s="7"/>
      <c r="AF121" s="8"/>
      <c r="AG121" s="9"/>
      <c r="AI121" s="10"/>
      <c r="AJ121" s="11"/>
      <c r="AK121" s="12"/>
      <c r="AL121" s="13"/>
      <c r="AN121" s="6"/>
      <c r="AO121" s="7">
        <v>1</v>
      </c>
      <c r="AP121" s="8"/>
      <c r="AQ121" s="9"/>
      <c r="AS121" s="10"/>
      <c r="AT121" s="11"/>
      <c r="AU121" s="12"/>
      <c r="AV121" s="13"/>
      <c r="AX121" s="6">
        <v>2</v>
      </c>
      <c r="AY121" s="7"/>
      <c r="AZ121" s="8">
        <v>3</v>
      </c>
      <c r="BA121" s="9"/>
      <c r="BC121" s="46">
        <f t="shared" si="15"/>
        <v>6</v>
      </c>
      <c r="BD121" s="47">
        <f>(SUM(BE121,'Run distances (Term 2)'!BI121,'Run distances (Term 3)'!BI121,'Run distances (Term 4)'!BI121))</f>
        <v>19.2</v>
      </c>
      <c r="BE121" s="47">
        <f t="shared" si="12"/>
        <v>1.7999999999999998</v>
      </c>
    </row>
    <row r="122" spans="1:57" x14ac:dyDescent="0.25">
      <c r="A122" s="42" t="s">
        <v>188</v>
      </c>
      <c r="B122" s="43">
        <v>6</v>
      </c>
      <c r="C122" s="42" t="s">
        <v>64</v>
      </c>
      <c r="D122" t="s">
        <v>51</v>
      </c>
      <c r="E122" s="10"/>
      <c r="F122" s="11"/>
      <c r="G122" s="12"/>
      <c r="H122" s="13"/>
      <c r="J122" s="6"/>
      <c r="K122" s="7"/>
      <c r="L122" s="8">
        <v>2</v>
      </c>
      <c r="M122" s="9"/>
      <c r="O122" s="10"/>
      <c r="P122" s="11"/>
      <c r="Q122" s="12">
        <v>4</v>
      </c>
      <c r="R122" s="13">
        <v>4</v>
      </c>
      <c r="T122" s="6"/>
      <c r="U122" s="7">
        <v>3</v>
      </c>
      <c r="V122" s="8">
        <v>1</v>
      </c>
      <c r="W122" s="9"/>
      <c r="Y122" s="10"/>
      <c r="Z122" s="11"/>
      <c r="AA122" s="12"/>
      <c r="AB122" s="13"/>
      <c r="AD122" s="6"/>
      <c r="AE122" s="7"/>
      <c r="AF122" s="8"/>
      <c r="AG122" s="9"/>
      <c r="AI122" s="10"/>
      <c r="AJ122" s="11"/>
      <c r="AK122" s="12"/>
      <c r="AL122" s="13"/>
      <c r="AN122" s="6"/>
      <c r="AO122" s="7"/>
      <c r="AP122" s="8"/>
      <c r="AQ122" s="9"/>
      <c r="AS122" s="10"/>
      <c r="AT122" s="11"/>
      <c r="AU122" s="12"/>
      <c r="AV122" s="13"/>
      <c r="AX122" s="6"/>
      <c r="AY122" s="7"/>
      <c r="AZ122" s="8"/>
      <c r="BA122" s="9">
        <v>2</v>
      </c>
      <c r="BC122" s="46">
        <f t="shared" ref="BC122:BC123" si="18">SUM(E122:BA122)</f>
        <v>16</v>
      </c>
      <c r="BD122" s="47">
        <f>(SUM(BE122,'Run distances (Term 2)'!BI122,'Run distances (Term 3)'!BI122,'Run distances (Term 4)'!BI122))</f>
        <v>6</v>
      </c>
      <c r="BE122" s="47">
        <f t="shared" si="12"/>
        <v>4.8</v>
      </c>
    </row>
    <row r="123" spans="1:57" x14ac:dyDescent="0.25">
      <c r="A123" s="42" t="s">
        <v>369</v>
      </c>
      <c r="B123" s="43">
        <v>6</v>
      </c>
      <c r="C123" s="42" t="s">
        <v>64</v>
      </c>
      <c r="D123" t="s">
        <v>51</v>
      </c>
      <c r="E123" s="10"/>
      <c r="F123" s="11"/>
      <c r="G123" s="12"/>
      <c r="H123" s="13"/>
      <c r="J123" s="6"/>
      <c r="K123" s="7"/>
      <c r="L123" s="8"/>
      <c r="M123" s="9"/>
      <c r="O123" s="10"/>
      <c r="P123" s="11"/>
      <c r="Q123" s="12"/>
      <c r="R123" s="13"/>
      <c r="T123" s="6"/>
      <c r="U123" s="7"/>
      <c r="V123" s="8"/>
      <c r="W123" s="9"/>
      <c r="Y123" s="10"/>
      <c r="Z123" s="11"/>
      <c r="AA123" s="12"/>
      <c r="AB123" s="13"/>
      <c r="AD123" s="6"/>
      <c r="AE123" s="7"/>
      <c r="AF123" s="8"/>
      <c r="AG123" s="9"/>
      <c r="AI123" s="10"/>
      <c r="AJ123" s="11"/>
      <c r="AK123" s="12">
        <v>3</v>
      </c>
      <c r="AL123" s="13"/>
      <c r="AN123" s="6"/>
      <c r="AO123" s="7"/>
      <c r="AP123" s="8"/>
      <c r="AQ123" s="9"/>
      <c r="AS123" s="10"/>
      <c r="AT123" s="11"/>
      <c r="AU123" s="12"/>
      <c r="AV123" s="13"/>
      <c r="AX123" s="6"/>
      <c r="AY123" s="7"/>
      <c r="AZ123" s="8"/>
      <c r="BA123" s="9"/>
      <c r="BC123" s="46">
        <f t="shared" si="18"/>
        <v>3</v>
      </c>
      <c r="BD123" s="47">
        <f>(SUM(BE123,'Run distances (Term 2)'!BI123,'Run distances (Term 3)'!BI123,'Run distances (Term 4)'!BI123))</f>
        <v>6.2999999999999989</v>
      </c>
      <c r="BE123" s="47">
        <f t="shared" si="12"/>
        <v>0.89999999999999991</v>
      </c>
    </row>
    <row r="124" spans="1:57" x14ac:dyDescent="0.25">
      <c r="A124" s="42" t="s">
        <v>370</v>
      </c>
      <c r="B124" s="43">
        <v>6</v>
      </c>
      <c r="C124" s="42" t="s">
        <v>64</v>
      </c>
      <c r="D124" t="s">
        <v>51</v>
      </c>
      <c r="E124" s="10"/>
      <c r="F124" s="11"/>
      <c r="G124" s="12"/>
      <c r="H124" s="13"/>
      <c r="J124" s="6"/>
      <c r="K124" s="7"/>
      <c r="L124" s="8"/>
      <c r="M124" s="9"/>
      <c r="O124" s="10"/>
      <c r="P124" s="11"/>
      <c r="Q124" s="12"/>
      <c r="R124" s="13"/>
      <c r="T124" s="6"/>
      <c r="U124" s="7"/>
      <c r="V124" s="8"/>
      <c r="W124" s="9"/>
      <c r="Y124" s="10"/>
      <c r="Z124" s="11"/>
      <c r="AA124" s="12"/>
      <c r="AB124" s="13"/>
      <c r="AD124" s="6"/>
      <c r="AE124" s="7"/>
      <c r="AF124" s="8"/>
      <c r="AG124" s="9"/>
      <c r="AI124" s="10"/>
      <c r="AJ124" s="11"/>
      <c r="AK124" s="12">
        <v>2</v>
      </c>
      <c r="AL124" s="13"/>
      <c r="AN124" s="6"/>
      <c r="AO124" s="7">
        <v>1</v>
      </c>
      <c r="AP124" s="8"/>
      <c r="AQ124" s="9">
        <v>1</v>
      </c>
      <c r="AS124" s="10"/>
      <c r="AT124" s="11"/>
      <c r="AU124" s="12"/>
      <c r="AV124" s="13"/>
      <c r="AX124" s="6"/>
      <c r="AY124" s="7"/>
      <c r="AZ124" s="8"/>
      <c r="BA124" s="9"/>
      <c r="BC124" s="46">
        <f t="shared" si="15"/>
        <v>4</v>
      </c>
      <c r="BD124" s="47">
        <f>(SUM(BE124,'Run distances (Term 2)'!BI124,'Run distances (Term 3)'!BI124,'Run distances (Term 4)'!BI124))</f>
        <v>17.7</v>
      </c>
      <c r="BE124" s="47">
        <f t="shared" si="12"/>
        <v>1.2</v>
      </c>
    </row>
    <row r="125" spans="1:57" x14ac:dyDescent="0.25">
      <c r="A125" s="42" t="s">
        <v>187</v>
      </c>
      <c r="B125" s="43">
        <v>6</v>
      </c>
      <c r="C125" s="42" t="s">
        <v>64</v>
      </c>
      <c r="D125" t="s">
        <v>51</v>
      </c>
      <c r="E125" s="10"/>
      <c r="F125" s="11"/>
      <c r="G125" s="12"/>
      <c r="H125" s="13"/>
      <c r="J125" s="6"/>
      <c r="K125" s="7"/>
      <c r="L125" s="8">
        <v>2</v>
      </c>
      <c r="M125" s="9"/>
      <c r="O125" s="10">
        <v>2</v>
      </c>
      <c r="P125" s="11">
        <v>2</v>
      </c>
      <c r="Q125" s="12">
        <v>4</v>
      </c>
      <c r="R125" s="13"/>
      <c r="T125" s="6">
        <v>2</v>
      </c>
      <c r="U125" s="7"/>
      <c r="V125" s="8">
        <v>3</v>
      </c>
      <c r="W125" s="9"/>
      <c r="Y125" s="10"/>
      <c r="Z125" s="11"/>
      <c r="AA125" s="12"/>
      <c r="AB125" s="13"/>
      <c r="AD125" s="6"/>
      <c r="AE125" s="7"/>
      <c r="AF125" s="8"/>
      <c r="AG125" s="9"/>
      <c r="AI125" s="10"/>
      <c r="AJ125" s="11"/>
      <c r="AK125" s="12"/>
      <c r="AL125" s="13"/>
      <c r="AN125" s="6"/>
      <c r="AO125" s="7"/>
      <c r="AP125" s="8"/>
      <c r="AQ125" s="9"/>
      <c r="AS125" s="10"/>
      <c r="AT125" s="11"/>
      <c r="AU125" s="12"/>
      <c r="AV125" s="13"/>
      <c r="AX125" s="6"/>
      <c r="AY125" s="7"/>
      <c r="AZ125" s="8"/>
      <c r="BA125" s="9">
        <v>2</v>
      </c>
      <c r="BC125" s="46">
        <f t="shared" si="15"/>
        <v>17</v>
      </c>
      <c r="BD125" s="47">
        <f>(SUM(BE125,'Run distances (Term 2)'!BI125,'Run distances (Term 3)'!BI125,'Run distances (Term 4)'!BI125))</f>
        <v>12.299999999999999</v>
      </c>
      <c r="BE125" s="47">
        <f t="shared" si="12"/>
        <v>5.0999999999999996</v>
      </c>
    </row>
    <row r="126" spans="1:57" x14ac:dyDescent="0.25">
      <c r="A126" s="42" t="s">
        <v>186</v>
      </c>
      <c r="B126" s="43">
        <v>6</v>
      </c>
      <c r="C126" s="42" t="s">
        <v>64</v>
      </c>
      <c r="D126" t="s">
        <v>51</v>
      </c>
      <c r="E126" s="10"/>
      <c r="F126" s="11"/>
      <c r="G126" s="12"/>
      <c r="H126" s="13"/>
      <c r="J126" s="6">
        <v>1</v>
      </c>
      <c r="K126" s="7">
        <v>3</v>
      </c>
      <c r="L126" s="8"/>
      <c r="M126" s="9"/>
      <c r="O126" s="10">
        <v>2</v>
      </c>
      <c r="P126" s="11">
        <v>2</v>
      </c>
      <c r="Q126" s="12">
        <v>6</v>
      </c>
      <c r="R126" s="13">
        <v>3</v>
      </c>
      <c r="T126" s="6"/>
      <c r="U126" s="7"/>
      <c r="V126" s="8"/>
      <c r="W126" s="9"/>
      <c r="Y126" s="10"/>
      <c r="Z126" s="11"/>
      <c r="AA126" s="12">
        <v>3</v>
      </c>
      <c r="AB126" s="13"/>
      <c r="AD126" s="6"/>
      <c r="AE126" s="7"/>
      <c r="AF126" s="8"/>
      <c r="AG126" s="9"/>
      <c r="AI126" s="10"/>
      <c r="AJ126" s="11"/>
      <c r="AK126" s="12"/>
      <c r="AL126" s="13"/>
      <c r="AN126" s="6"/>
      <c r="AO126" s="7"/>
      <c r="AP126" s="8"/>
      <c r="AQ126" s="9"/>
      <c r="AS126" s="10"/>
      <c r="AT126" s="11"/>
      <c r="AU126" s="12"/>
      <c r="AV126" s="13"/>
      <c r="AX126" s="6"/>
      <c r="AY126" s="7"/>
      <c r="AZ126" s="8"/>
      <c r="BA126" s="9"/>
      <c r="BC126" s="46">
        <f t="shared" si="15"/>
        <v>20</v>
      </c>
      <c r="BD126" s="47">
        <f>(SUM(BE126,'Run distances (Term 2)'!BI126,'Run distances (Term 3)'!BI126,'Run distances (Term 4)'!BI126))</f>
        <v>17.399999999999999</v>
      </c>
      <c r="BE126" s="47">
        <f t="shared" si="12"/>
        <v>6</v>
      </c>
    </row>
    <row r="127" spans="1:57" x14ac:dyDescent="0.25">
      <c r="A127" s="42" t="s">
        <v>185</v>
      </c>
      <c r="B127" s="43">
        <v>8</v>
      </c>
      <c r="C127" s="42" t="s">
        <v>64</v>
      </c>
      <c r="D127" t="s">
        <v>61</v>
      </c>
      <c r="E127" s="10"/>
      <c r="F127" s="11"/>
      <c r="G127" s="12"/>
      <c r="H127" s="13"/>
      <c r="J127" s="6"/>
      <c r="K127" s="7"/>
      <c r="L127" s="8"/>
      <c r="M127" s="9">
        <v>1</v>
      </c>
      <c r="O127" s="10"/>
      <c r="P127" s="11"/>
      <c r="Q127" s="12"/>
      <c r="R127" s="13"/>
      <c r="T127" s="6"/>
      <c r="U127" s="7"/>
      <c r="V127" s="8"/>
      <c r="W127" s="9"/>
      <c r="Y127" s="10"/>
      <c r="Z127" s="11"/>
      <c r="AA127" s="12"/>
      <c r="AB127" s="13"/>
      <c r="AD127" s="6"/>
      <c r="AE127" s="7"/>
      <c r="AF127" s="8"/>
      <c r="AG127" s="9"/>
      <c r="AI127" s="10"/>
      <c r="AJ127" s="11"/>
      <c r="AK127" s="12"/>
      <c r="AL127" s="13"/>
      <c r="AN127" s="6"/>
      <c r="AO127" s="7"/>
      <c r="AP127" s="8"/>
      <c r="AQ127" s="9"/>
      <c r="AS127" s="10"/>
      <c r="AT127" s="11"/>
      <c r="AU127" s="12"/>
      <c r="AV127" s="13"/>
      <c r="AX127" s="6"/>
      <c r="AY127" s="7"/>
      <c r="AZ127" s="8"/>
      <c r="BA127" s="9"/>
      <c r="BC127" s="46">
        <f t="shared" ref="BC127:BC160" si="19">SUM(E127:BA127)</f>
        <v>1</v>
      </c>
      <c r="BD127" s="47">
        <f>(SUM(BE127,'Run distances (Term 2)'!BI127,'Run distances (Term 3)'!BI127,'Run distances (Term 4)'!BI127))</f>
        <v>0.3</v>
      </c>
      <c r="BE127" s="47">
        <f t="shared" si="12"/>
        <v>0.3</v>
      </c>
    </row>
    <row r="128" spans="1:57" x14ac:dyDescent="0.25">
      <c r="A128" s="42" t="s">
        <v>371</v>
      </c>
      <c r="B128" s="43">
        <v>8</v>
      </c>
      <c r="C128" s="42" t="s">
        <v>64</v>
      </c>
      <c r="D128" t="s">
        <v>61</v>
      </c>
      <c r="E128" s="10"/>
      <c r="F128" s="11"/>
      <c r="G128" s="12"/>
      <c r="H128" s="13"/>
      <c r="J128" s="6"/>
      <c r="K128" s="7"/>
      <c r="L128" s="8"/>
      <c r="M128" s="9"/>
      <c r="O128" s="10"/>
      <c r="P128" s="11"/>
      <c r="Q128" s="12"/>
      <c r="R128" s="13"/>
      <c r="T128" s="6"/>
      <c r="U128" s="7"/>
      <c r="V128" s="8"/>
      <c r="W128" s="9"/>
      <c r="Y128" s="10"/>
      <c r="Z128" s="11"/>
      <c r="AA128" s="12"/>
      <c r="AB128" s="13"/>
      <c r="AD128" s="6"/>
      <c r="AE128" s="7"/>
      <c r="AF128" s="8"/>
      <c r="AG128" s="9">
        <v>3</v>
      </c>
      <c r="AI128" s="10"/>
      <c r="AJ128" s="11"/>
      <c r="AK128" s="12"/>
      <c r="AL128" s="13"/>
      <c r="AN128" s="6"/>
      <c r="AO128" s="7"/>
      <c r="AP128" s="8"/>
      <c r="AQ128" s="9"/>
      <c r="AS128" s="10"/>
      <c r="AT128" s="11"/>
      <c r="AU128" s="12"/>
      <c r="AV128" s="13"/>
      <c r="AX128" s="6"/>
      <c r="AY128" s="7"/>
      <c r="AZ128" s="8"/>
      <c r="BA128" s="9"/>
      <c r="BC128" s="46">
        <f t="shared" si="19"/>
        <v>3</v>
      </c>
      <c r="BD128" s="47">
        <f>(SUM(BE128,'Run distances (Term 2)'!BI128,'Run distances (Term 3)'!BI128,'Run distances (Term 4)'!BI128))</f>
        <v>1.2</v>
      </c>
      <c r="BE128" s="47">
        <f t="shared" si="12"/>
        <v>0.89999999999999991</v>
      </c>
    </row>
    <row r="129" spans="1:57" x14ac:dyDescent="0.25">
      <c r="A129" s="42" t="s">
        <v>372</v>
      </c>
      <c r="B129" s="43">
        <v>8</v>
      </c>
      <c r="C129" s="42" t="s">
        <v>64</v>
      </c>
      <c r="D129" t="s">
        <v>61</v>
      </c>
      <c r="E129" s="10"/>
      <c r="F129" s="11"/>
      <c r="G129" s="12"/>
      <c r="H129" s="13"/>
      <c r="J129" s="6"/>
      <c r="K129" s="7"/>
      <c r="L129" s="8"/>
      <c r="M129" s="9"/>
      <c r="O129" s="10"/>
      <c r="P129" s="11"/>
      <c r="Q129" s="12"/>
      <c r="R129" s="13"/>
      <c r="T129" s="6"/>
      <c r="U129" s="7"/>
      <c r="V129" s="8"/>
      <c r="W129" s="9"/>
      <c r="Y129" s="10"/>
      <c r="Z129" s="11"/>
      <c r="AA129" s="12"/>
      <c r="AB129" s="13"/>
      <c r="AD129" s="6"/>
      <c r="AE129" s="7"/>
      <c r="AF129" s="8"/>
      <c r="AG129" s="9"/>
      <c r="AI129" s="10"/>
      <c r="AJ129" s="11"/>
      <c r="AK129" s="12">
        <v>3</v>
      </c>
      <c r="AL129" s="13"/>
      <c r="AN129" s="6"/>
      <c r="AO129" s="7"/>
      <c r="AP129" s="8"/>
      <c r="AQ129" s="9">
        <v>2</v>
      </c>
      <c r="AS129" s="10"/>
      <c r="AT129" s="11"/>
      <c r="AU129" s="12"/>
      <c r="AV129" s="13"/>
      <c r="AX129" s="6"/>
      <c r="AY129" s="7"/>
      <c r="AZ129" s="8"/>
      <c r="BA129" s="9"/>
      <c r="BC129" s="46">
        <f t="shared" si="19"/>
        <v>5</v>
      </c>
      <c r="BD129" s="47">
        <f>(SUM(BE129,'Run distances (Term 2)'!BI129,'Run distances (Term 3)'!BI129,'Run distances (Term 4)'!BI129))</f>
        <v>10.799999999999999</v>
      </c>
      <c r="BE129" s="47">
        <f t="shared" si="12"/>
        <v>1.5</v>
      </c>
    </row>
    <row r="130" spans="1:57" x14ac:dyDescent="0.25">
      <c r="A130" s="42" t="s">
        <v>373</v>
      </c>
      <c r="B130" s="43">
        <v>8</v>
      </c>
      <c r="C130" s="42" t="s">
        <v>64</v>
      </c>
      <c r="D130" t="s">
        <v>61</v>
      </c>
      <c r="E130" s="10"/>
      <c r="F130" s="11"/>
      <c r="G130" s="12"/>
      <c r="H130" s="13"/>
      <c r="J130" s="6"/>
      <c r="K130" s="7"/>
      <c r="L130" s="8"/>
      <c r="M130" s="9"/>
      <c r="O130" s="10"/>
      <c r="P130" s="11"/>
      <c r="Q130" s="12"/>
      <c r="R130" s="13"/>
      <c r="T130" s="6"/>
      <c r="U130" s="7"/>
      <c r="V130" s="8"/>
      <c r="W130" s="9"/>
      <c r="Y130" s="10"/>
      <c r="Z130" s="11"/>
      <c r="AA130" s="12"/>
      <c r="AB130" s="13"/>
      <c r="AD130" s="6"/>
      <c r="AE130" s="7"/>
      <c r="AF130" s="8"/>
      <c r="AG130" s="9"/>
      <c r="AI130" s="10"/>
      <c r="AJ130" s="11"/>
      <c r="AK130" s="12">
        <v>3</v>
      </c>
      <c r="AL130" s="13"/>
      <c r="AN130" s="6"/>
      <c r="AO130" s="7"/>
      <c r="AP130" s="8"/>
      <c r="AQ130" s="9">
        <v>2</v>
      </c>
      <c r="AS130" s="10"/>
      <c r="AT130" s="11"/>
      <c r="AU130" s="12"/>
      <c r="AV130" s="13"/>
      <c r="AX130" s="6"/>
      <c r="AY130" s="7"/>
      <c r="AZ130" s="8"/>
      <c r="BA130" s="9"/>
      <c r="BC130" s="46">
        <f t="shared" si="19"/>
        <v>5</v>
      </c>
      <c r="BD130" s="47">
        <f>(SUM(BE130,'Run distances (Term 2)'!BI130,'Run distances (Term 3)'!BI130,'Run distances (Term 4)'!BI130))</f>
        <v>12.6</v>
      </c>
      <c r="BE130" s="47">
        <f t="shared" si="12"/>
        <v>1.5</v>
      </c>
    </row>
    <row r="131" spans="1:57" x14ac:dyDescent="0.25">
      <c r="A131" s="42" t="s">
        <v>182</v>
      </c>
      <c r="B131" s="43">
        <v>8</v>
      </c>
      <c r="C131" s="42" t="s">
        <v>64</v>
      </c>
      <c r="D131" t="s">
        <v>61</v>
      </c>
      <c r="E131" s="10">
        <v>0</v>
      </c>
      <c r="F131" s="11">
        <v>0</v>
      </c>
      <c r="G131" s="12">
        <v>0</v>
      </c>
      <c r="H131" s="13">
        <v>5</v>
      </c>
      <c r="J131" s="6">
        <v>5</v>
      </c>
      <c r="K131" s="7">
        <v>5</v>
      </c>
      <c r="L131" s="8">
        <v>0</v>
      </c>
      <c r="M131" s="9">
        <v>3</v>
      </c>
      <c r="O131" s="10">
        <v>5</v>
      </c>
      <c r="P131" s="11"/>
      <c r="Q131" s="12">
        <v>5</v>
      </c>
      <c r="R131" s="13"/>
      <c r="T131" s="6">
        <v>6</v>
      </c>
      <c r="U131" s="7">
        <v>6</v>
      </c>
      <c r="V131" s="8">
        <v>6</v>
      </c>
      <c r="W131" s="9">
        <v>4</v>
      </c>
      <c r="Y131" s="10"/>
      <c r="Z131" s="11">
        <v>3</v>
      </c>
      <c r="AA131" s="12">
        <v>3</v>
      </c>
      <c r="AB131" s="13"/>
      <c r="AD131" s="6"/>
      <c r="AE131" s="7">
        <v>1</v>
      </c>
      <c r="AF131" s="8">
        <v>3</v>
      </c>
      <c r="AG131" s="9"/>
      <c r="AI131" s="10">
        <v>1</v>
      </c>
      <c r="AJ131" s="11">
        <v>1</v>
      </c>
      <c r="AK131" s="12"/>
      <c r="AL131" s="13">
        <v>1</v>
      </c>
      <c r="AN131" s="6"/>
      <c r="AO131" s="7"/>
      <c r="AP131" s="8">
        <v>1</v>
      </c>
      <c r="AQ131" s="9">
        <v>2</v>
      </c>
      <c r="AS131" s="10"/>
      <c r="AT131" s="11"/>
      <c r="AU131" s="12"/>
      <c r="AV131" s="13"/>
      <c r="AX131" s="6"/>
      <c r="AY131" s="7"/>
      <c r="AZ131" s="8"/>
      <c r="BA131" s="9"/>
      <c r="BC131" s="46">
        <f t="shared" si="19"/>
        <v>66</v>
      </c>
      <c r="BD131" s="47">
        <f>(SUM(BE131,'Run distances (Term 2)'!BI131,'Run distances (Term 3)'!BI131,'Run distances (Term 4)'!BI131))</f>
        <v>30.3</v>
      </c>
      <c r="BE131" s="47">
        <f t="shared" si="12"/>
        <v>19.8</v>
      </c>
    </row>
    <row r="132" spans="1:57" x14ac:dyDescent="0.25">
      <c r="A132" s="42" t="s">
        <v>181</v>
      </c>
      <c r="B132" s="43">
        <v>9</v>
      </c>
      <c r="C132" s="42" t="s">
        <v>64</v>
      </c>
      <c r="D132" t="s">
        <v>61</v>
      </c>
      <c r="E132" s="10"/>
      <c r="F132" s="11"/>
      <c r="G132" s="12"/>
      <c r="H132" s="13"/>
      <c r="J132" s="6">
        <v>5</v>
      </c>
      <c r="K132" s="7">
        <v>5</v>
      </c>
      <c r="L132" s="8">
        <v>3</v>
      </c>
      <c r="M132" s="9">
        <v>2</v>
      </c>
      <c r="O132" s="10">
        <v>4</v>
      </c>
      <c r="P132" s="11">
        <v>4</v>
      </c>
      <c r="Q132" s="12">
        <v>6</v>
      </c>
      <c r="R132" s="13">
        <v>3</v>
      </c>
      <c r="T132" s="6">
        <v>6</v>
      </c>
      <c r="U132" s="7">
        <v>6</v>
      </c>
      <c r="V132" s="8">
        <v>3</v>
      </c>
      <c r="W132" s="9">
        <v>4</v>
      </c>
      <c r="Y132" s="10"/>
      <c r="Z132" s="11">
        <v>4</v>
      </c>
      <c r="AA132" s="12">
        <v>4</v>
      </c>
      <c r="AB132" s="13"/>
      <c r="AD132" s="6"/>
      <c r="AE132" s="7">
        <v>3</v>
      </c>
      <c r="AF132" s="8">
        <v>3</v>
      </c>
      <c r="AG132" s="9"/>
      <c r="AI132" s="10">
        <v>3</v>
      </c>
      <c r="AJ132" s="11">
        <v>1</v>
      </c>
      <c r="AK132" s="12"/>
      <c r="AL132" s="13">
        <v>1</v>
      </c>
      <c r="AN132" s="6"/>
      <c r="AO132" s="7"/>
      <c r="AP132" s="8"/>
      <c r="AQ132" s="9"/>
      <c r="AS132" s="10"/>
      <c r="AT132" s="11"/>
      <c r="AU132" s="12"/>
      <c r="AV132" s="13"/>
      <c r="AX132" s="6"/>
      <c r="AY132" s="7"/>
      <c r="AZ132" s="8"/>
      <c r="BA132" s="9"/>
      <c r="BC132" s="46">
        <f t="shared" si="19"/>
        <v>70</v>
      </c>
      <c r="BD132" s="47">
        <f>(SUM(BE132,'Run distances (Term 2)'!BI132,'Run distances (Term 3)'!BI132,'Run distances (Term 4)'!BI132))</f>
        <v>33.299999999999997</v>
      </c>
      <c r="BE132" s="47">
        <f t="shared" si="12"/>
        <v>21</v>
      </c>
    </row>
    <row r="133" spans="1:57" x14ac:dyDescent="0.25">
      <c r="A133" s="42" t="s">
        <v>180</v>
      </c>
      <c r="B133" s="43">
        <v>9</v>
      </c>
      <c r="C133" s="42" t="s">
        <v>64</v>
      </c>
      <c r="D133" t="s">
        <v>61</v>
      </c>
      <c r="E133" s="10"/>
      <c r="F133" s="11"/>
      <c r="G133" s="12"/>
      <c r="H133" s="13"/>
      <c r="J133" s="6">
        <v>0</v>
      </c>
      <c r="K133" s="7">
        <v>1</v>
      </c>
      <c r="L133" s="8"/>
      <c r="M133" s="9"/>
      <c r="O133" s="10"/>
      <c r="P133" s="11"/>
      <c r="Q133" s="12"/>
      <c r="R133" s="13"/>
      <c r="T133" s="6"/>
      <c r="U133" s="7">
        <v>2</v>
      </c>
      <c r="V133" s="8"/>
      <c r="W133" s="9">
        <v>1</v>
      </c>
      <c r="Y133" s="10"/>
      <c r="Z133" s="11"/>
      <c r="AA133" s="12">
        <v>2</v>
      </c>
      <c r="AB133" s="13"/>
      <c r="AD133" s="6"/>
      <c r="AE133" s="7"/>
      <c r="AF133" s="8"/>
      <c r="AG133" s="9"/>
      <c r="AI133" s="10"/>
      <c r="AJ133" s="11"/>
      <c r="AK133" s="12"/>
      <c r="AL133" s="13"/>
      <c r="AN133" s="6"/>
      <c r="AO133" s="7"/>
      <c r="AP133" s="8"/>
      <c r="AQ133" s="9"/>
      <c r="AS133" s="10"/>
      <c r="AT133" s="11"/>
      <c r="AU133" s="12"/>
      <c r="AV133" s="13"/>
      <c r="AX133" s="6"/>
      <c r="AY133" s="7"/>
      <c r="AZ133" s="8"/>
      <c r="BA133" s="9"/>
      <c r="BC133" s="46">
        <f t="shared" si="19"/>
        <v>6</v>
      </c>
      <c r="BD133" s="47">
        <f>(SUM(BE133,'Run distances (Term 2)'!BI133,'Run distances (Term 3)'!BI133,'Run distances (Term 4)'!BI133))</f>
        <v>2.6999999999999997</v>
      </c>
      <c r="BE133" s="47">
        <f t="shared" si="12"/>
        <v>1.7999999999999998</v>
      </c>
    </row>
    <row r="134" spans="1:57" x14ac:dyDescent="0.25">
      <c r="A134" s="42" t="s">
        <v>374</v>
      </c>
      <c r="B134" s="43">
        <v>9</v>
      </c>
      <c r="C134" s="42" t="s">
        <v>64</v>
      </c>
      <c r="D134" t="s">
        <v>61</v>
      </c>
      <c r="E134" s="10"/>
      <c r="F134" s="11"/>
      <c r="G134" s="12"/>
      <c r="H134" s="13"/>
      <c r="J134" s="6">
        <v>0</v>
      </c>
      <c r="K134" s="7"/>
      <c r="L134" s="8"/>
      <c r="M134" s="9"/>
      <c r="O134" s="10"/>
      <c r="P134" s="11"/>
      <c r="Q134" s="12"/>
      <c r="R134" s="13"/>
      <c r="T134" s="6"/>
      <c r="U134" s="7"/>
      <c r="V134" s="8"/>
      <c r="W134" s="9"/>
      <c r="Y134" s="10"/>
      <c r="Z134" s="11">
        <v>3</v>
      </c>
      <c r="AA134" s="12">
        <v>3</v>
      </c>
      <c r="AB134" s="13"/>
      <c r="AD134" s="6"/>
      <c r="AE134" s="7">
        <v>2</v>
      </c>
      <c r="AF134" s="8">
        <v>2</v>
      </c>
      <c r="AG134" s="9">
        <v>2</v>
      </c>
      <c r="AI134" s="10">
        <v>3</v>
      </c>
      <c r="AJ134" s="11"/>
      <c r="AK134" s="12"/>
      <c r="AL134" s="13"/>
      <c r="AN134" s="6"/>
      <c r="AO134" s="7">
        <v>4</v>
      </c>
      <c r="AP134" s="8">
        <v>2</v>
      </c>
      <c r="AQ134" s="9">
        <v>3</v>
      </c>
      <c r="AS134" s="10"/>
      <c r="AT134" s="11"/>
      <c r="AU134" s="12"/>
      <c r="AV134" s="13"/>
      <c r="AX134" s="6"/>
      <c r="AY134" s="7"/>
      <c r="AZ134" s="8"/>
      <c r="BA134" s="9"/>
      <c r="BC134" s="46">
        <f t="shared" si="19"/>
        <v>24</v>
      </c>
      <c r="BD134" s="47">
        <f>(SUM(BE134,'Run distances (Term 2)'!BI134,'Run distances (Term 3)'!BI134,'Run distances (Term 4)'!BI134))</f>
        <v>7.4999999999999991</v>
      </c>
      <c r="BE134" s="47">
        <f t="shared" si="12"/>
        <v>7.1999999999999993</v>
      </c>
    </row>
    <row r="135" spans="1:57" x14ac:dyDescent="0.25">
      <c r="A135" s="42" t="s">
        <v>233</v>
      </c>
      <c r="B135" s="43">
        <v>9</v>
      </c>
      <c r="C135" s="42" t="s">
        <v>64</v>
      </c>
      <c r="E135" s="10"/>
      <c r="F135" s="11"/>
      <c r="G135" s="12"/>
      <c r="H135" s="13"/>
      <c r="J135" s="6"/>
      <c r="K135" s="7"/>
      <c r="L135" s="8"/>
      <c r="M135" s="9"/>
      <c r="O135" s="10"/>
      <c r="P135" s="11"/>
      <c r="Q135" s="12"/>
      <c r="R135" s="13"/>
      <c r="T135" s="6"/>
      <c r="U135" s="7"/>
      <c r="V135" s="8"/>
      <c r="W135" s="9"/>
      <c r="Y135" s="10"/>
      <c r="Z135" s="11"/>
      <c r="AA135" s="12"/>
      <c r="AB135" s="13"/>
      <c r="AD135" s="6"/>
      <c r="AE135" s="7"/>
      <c r="AF135" s="8"/>
      <c r="AG135" s="9"/>
      <c r="AI135" s="10"/>
      <c r="AJ135" s="11"/>
      <c r="AK135" s="12"/>
      <c r="AL135" s="13"/>
      <c r="AN135" s="6"/>
      <c r="AO135" s="7"/>
      <c r="AP135" s="8"/>
      <c r="AQ135" s="9"/>
      <c r="AS135" s="10"/>
      <c r="AT135" s="11"/>
      <c r="AU135" s="12"/>
      <c r="AV135" s="13"/>
      <c r="AX135" s="6"/>
      <c r="AY135" s="7"/>
      <c r="AZ135" s="8"/>
      <c r="BA135" s="9"/>
      <c r="BC135" s="46">
        <f t="shared" si="19"/>
        <v>0</v>
      </c>
      <c r="BD135" s="47">
        <f>(SUM(BE135,'Run distances (Term 2)'!BI135,'Run distances (Term 3)'!BI135,'Run distances (Term 4)'!BI135))</f>
        <v>0.89999999999999991</v>
      </c>
      <c r="BE135" s="47">
        <f t="shared" si="12"/>
        <v>0</v>
      </c>
    </row>
    <row r="136" spans="1:57" x14ac:dyDescent="0.25">
      <c r="A136" s="42" t="s">
        <v>178</v>
      </c>
      <c r="B136" s="43">
        <v>8</v>
      </c>
      <c r="C136" s="42" t="s">
        <v>64</v>
      </c>
      <c r="D136" t="s">
        <v>57</v>
      </c>
      <c r="E136" s="10">
        <v>0</v>
      </c>
      <c r="F136" s="11">
        <v>0</v>
      </c>
      <c r="G136" s="12">
        <v>0</v>
      </c>
      <c r="H136" s="13">
        <v>6</v>
      </c>
      <c r="J136" s="6"/>
      <c r="K136" s="7"/>
      <c r="L136" s="8"/>
      <c r="M136" s="9"/>
      <c r="O136" s="10">
        <v>2</v>
      </c>
      <c r="P136" s="11"/>
      <c r="Q136" s="12"/>
      <c r="R136" s="13"/>
      <c r="T136" s="6"/>
      <c r="U136" s="7"/>
      <c r="V136" s="8"/>
      <c r="W136" s="9">
        <v>5</v>
      </c>
      <c r="Y136" s="10"/>
      <c r="Z136" s="11"/>
      <c r="AA136" s="12">
        <v>3</v>
      </c>
      <c r="AB136" s="13"/>
      <c r="AD136" s="6"/>
      <c r="AE136" s="7"/>
      <c r="AF136" s="8"/>
      <c r="AG136" s="9"/>
      <c r="AI136" s="10"/>
      <c r="AJ136" s="11"/>
      <c r="AK136" s="12"/>
      <c r="AL136" s="13"/>
      <c r="AN136" s="6"/>
      <c r="AO136" s="7"/>
      <c r="AP136" s="8"/>
      <c r="AQ136" s="9"/>
      <c r="AS136" s="10"/>
      <c r="AT136" s="11"/>
      <c r="AU136" s="12"/>
      <c r="AV136" s="13"/>
      <c r="AX136" s="6"/>
      <c r="AY136" s="7"/>
      <c r="AZ136" s="8"/>
      <c r="BA136" s="9"/>
      <c r="BC136" s="46">
        <f t="shared" si="19"/>
        <v>16</v>
      </c>
      <c r="BD136" s="47">
        <f>(SUM(BE136,'Run distances (Term 2)'!BI136,'Run distances (Term 3)'!BI136,'Run distances (Term 4)'!BI136))</f>
        <v>9.3000000000000007</v>
      </c>
      <c r="BE136" s="47">
        <f t="shared" si="12"/>
        <v>4.8</v>
      </c>
    </row>
    <row r="137" spans="1:57" x14ac:dyDescent="0.25">
      <c r="A137" s="42" t="s">
        <v>177</v>
      </c>
      <c r="B137" s="43">
        <v>8</v>
      </c>
      <c r="C137" s="42" t="s">
        <v>64</v>
      </c>
      <c r="D137" t="s">
        <v>48</v>
      </c>
      <c r="E137" s="10"/>
      <c r="F137" s="11"/>
      <c r="G137" s="12"/>
      <c r="H137" s="13"/>
      <c r="J137" s="6">
        <v>0</v>
      </c>
      <c r="K137" s="7">
        <v>2</v>
      </c>
      <c r="L137" s="8"/>
      <c r="M137" s="9"/>
      <c r="O137" s="10"/>
      <c r="P137" s="11"/>
      <c r="Q137" s="12"/>
      <c r="R137" s="13"/>
      <c r="T137" s="6">
        <v>2</v>
      </c>
      <c r="U137" s="7">
        <v>2</v>
      </c>
      <c r="V137" s="8">
        <v>2</v>
      </c>
      <c r="W137" s="9">
        <v>1</v>
      </c>
      <c r="Y137" s="10"/>
      <c r="Z137" s="11">
        <v>2</v>
      </c>
      <c r="AA137" s="12">
        <v>2</v>
      </c>
      <c r="AB137" s="13"/>
      <c r="AD137" s="6"/>
      <c r="AE137" s="7">
        <v>1</v>
      </c>
      <c r="AF137" s="8">
        <v>1</v>
      </c>
      <c r="AG137" s="9"/>
      <c r="AI137" s="10"/>
      <c r="AJ137" s="11">
        <v>2</v>
      </c>
      <c r="AK137" s="12"/>
      <c r="AL137" s="13">
        <v>1</v>
      </c>
      <c r="AN137" s="6"/>
      <c r="AO137" s="7"/>
      <c r="AP137" s="8"/>
      <c r="AQ137" s="9">
        <v>1</v>
      </c>
      <c r="AS137" s="10"/>
      <c r="AT137" s="11">
        <v>1</v>
      </c>
      <c r="AU137" s="12"/>
      <c r="AV137" s="13"/>
      <c r="AX137" s="6"/>
      <c r="AY137" s="7"/>
      <c r="AZ137" s="8"/>
      <c r="BA137" s="9"/>
      <c r="BC137" s="46">
        <f t="shared" si="19"/>
        <v>20</v>
      </c>
      <c r="BD137" s="47">
        <f>(SUM(BE137,'Run distances (Term 2)'!BI137,'Run distances (Term 3)'!BI137,'Run distances (Term 4)'!BI137))</f>
        <v>12.899999999999999</v>
      </c>
      <c r="BE137" s="47">
        <f t="shared" si="12"/>
        <v>6</v>
      </c>
    </row>
    <row r="138" spans="1:57" x14ac:dyDescent="0.25">
      <c r="A138" s="42" t="s">
        <v>176</v>
      </c>
      <c r="B138" s="43">
        <v>9</v>
      </c>
      <c r="C138" s="42" t="s">
        <v>64</v>
      </c>
      <c r="D138" t="s">
        <v>48</v>
      </c>
      <c r="E138" s="10"/>
      <c r="F138" s="11"/>
      <c r="G138" s="12"/>
      <c r="H138" s="13"/>
      <c r="J138" s="6">
        <v>0</v>
      </c>
      <c r="K138" s="7">
        <v>1</v>
      </c>
      <c r="L138" s="8"/>
      <c r="M138" s="9"/>
      <c r="O138" s="10"/>
      <c r="P138" s="11"/>
      <c r="Q138" s="12"/>
      <c r="R138" s="13"/>
      <c r="T138" s="6"/>
      <c r="U138" s="7">
        <v>2</v>
      </c>
      <c r="V138" s="8"/>
      <c r="W138" s="9">
        <v>1</v>
      </c>
      <c r="Y138" s="10"/>
      <c r="Z138" s="11">
        <v>2</v>
      </c>
      <c r="AA138" s="12">
        <v>3</v>
      </c>
      <c r="AB138" s="13"/>
      <c r="AD138" s="6"/>
      <c r="AE138" s="7">
        <v>3</v>
      </c>
      <c r="AF138" s="8"/>
      <c r="AG138" s="9"/>
      <c r="AI138" s="10"/>
      <c r="AJ138" s="11"/>
      <c r="AK138" s="12"/>
      <c r="AL138" s="13"/>
      <c r="AN138" s="6"/>
      <c r="AO138" s="7">
        <v>2</v>
      </c>
      <c r="AP138" s="8">
        <v>2</v>
      </c>
      <c r="AQ138" s="9">
        <v>1</v>
      </c>
      <c r="AS138" s="10"/>
      <c r="AT138" s="11"/>
      <c r="AU138" s="12"/>
      <c r="AV138" s="13"/>
      <c r="AX138" s="6"/>
      <c r="AY138" s="7"/>
      <c r="AZ138" s="8"/>
      <c r="BA138" s="9"/>
      <c r="BC138" s="46">
        <f t="shared" si="19"/>
        <v>17</v>
      </c>
      <c r="BD138" s="47">
        <f>(SUM(BE138,'Run distances (Term 2)'!BI138,'Run distances (Term 3)'!BI138,'Run distances (Term 4)'!BI138))</f>
        <v>5.6999999999999993</v>
      </c>
      <c r="BE138" s="47">
        <f t="shared" si="12"/>
        <v>5.0999999999999996</v>
      </c>
    </row>
    <row r="139" spans="1:57" x14ac:dyDescent="0.25">
      <c r="A139" s="42" t="s">
        <v>175</v>
      </c>
      <c r="B139" s="43">
        <v>1</v>
      </c>
      <c r="C139" s="42" t="s">
        <v>64</v>
      </c>
      <c r="D139" t="s">
        <v>62</v>
      </c>
      <c r="E139" s="10"/>
      <c r="F139" s="11"/>
      <c r="G139" s="12"/>
      <c r="H139" s="13"/>
      <c r="J139" s="6"/>
      <c r="K139" s="7"/>
      <c r="L139" s="8"/>
      <c r="M139" s="9">
        <v>2</v>
      </c>
      <c r="O139" s="10"/>
      <c r="P139" s="11"/>
      <c r="Q139" s="12"/>
      <c r="R139" s="13"/>
      <c r="T139" s="6"/>
      <c r="U139" s="7"/>
      <c r="V139" s="8"/>
      <c r="W139" s="9"/>
      <c r="Y139" s="10"/>
      <c r="Z139" s="11"/>
      <c r="AA139" s="12"/>
      <c r="AB139" s="13"/>
      <c r="AD139" s="6"/>
      <c r="AE139" s="7"/>
      <c r="AF139" s="8"/>
      <c r="AG139" s="9"/>
      <c r="AI139" s="10"/>
      <c r="AJ139" s="11"/>
      <c r="AK139" s="12"/>
      <c r="AL139" s="13"/>
      <c r="AN139" s="6"/>
      <c r="AO139" s="7"/>
      <c r="AP139" s="8"/>
      <c r="AQ139" s="9"/>
      <c r="AS139" s="10"/>
      <c r="AT139" s="11"/>
      <c r="AU139" s="12"/>
      <c r="AV139" s="13"/>
      <c r="AX139" s="6"/>
      <c r="AY139" s="7"/>
      <c r="AZ139" s="8"/>
      <c r="BA139" s="9"/>
      <c r="BC139" s="46">
        <f t="shared" si="19"/>
        <v>2</v>
      </c>
      <c r="BD139" s="47">
        <f>(SUM(BE139,'Run distances (Term 2)'!BI139,'Run distances (Term 3)'!BI139,'Run distances (Term 4)'!BI139))</f>
        <v>4.1999999999999993</v>
      </c>
      <c r="BE139" s="47">
        <f t="shared" si="12"/>
        <v>0.6</v>
      </c>
    </row>
    <row r="140" spans="1:57" x14ac:dyDescent="0.25">
      <c r="A140" s="42" t="s">
        <v>379</v>
      </c>
      <c r="B140" s="43">
        <v>1</v>
      </c>
      <c r="C140" s="42" t="s">
        <v>64</v>
      </c>
      <c r="D140" t="s">
        <v>355</v>
      </c>
      <c r="E140" s="10"/>
      <c r="F140" s="11"/>
      <c r="G140" s="12"/>
      <c r="H140" s="13"/>
      <c r="J140" s="6"/>
      <c r="K140" s="7"/>
      <c r="L140" s="8"/>
      <c r="M140" s="9"/>
      <c r="O140" s="10"/>
      <c r="P140" s="11"/>
      <c r="Q140" s="12"/>
      <c r="R140" s="13"/>
      <c r="T140" s="6"/>
      <c r="U140" s="7"/>
      <c r="V140" s="8"/>
      <c r="W140" s="9"/>
      <c r="Y140" s="10"/>
      <c r="Z140" s="11"/>
      <c r="AA140" s="12"/>
      <c r="AB140" s="13"/>
      <c r="AD140" s="6"/>
      <c r="AE140" s="7"/>
      <c r="AF140" s="8"/>
      <c r="AG140" s="9"/>
      <c r="AI140" s="10"/>
      <c r="AJ140" s="11"/>
      <c r="AK140" s="12"/>
      <c r="AL140" s="13"/>
      <c r="AN140" s="6"/>
      <c r="AO140" s="7"/>
      <c r="AP140" s="8"/>
      <c r="AQ140" s="9"/>
      <c r="AS140" s="10"/>
      <c r="AT140" s="11"/>
      <c r="AU140" s="12"/>
      <c r="AV140" s="13"/>
      <c r="AX140" s="6"/>
      <c r="AY140" s="7"/>
      <c r="AZ140" s="8"/>
      <c r="BA140" s="9"/>
      <c r="BC140" s="46">
        <f t="shared" si="19"/>
        <v>0</v>
      </c>
      <c r="BD140" s="47">
        <f>(SUM(BE140,'Run distances (Term 2)'!BI140,'Run distances (Term 3)'!BI140,'Run distances (Term 4)'!BI140))</f>
        <v>1.7999999999999998</v>
      </c>
      <c r="BE140" s="47">
        <f t="shared" si="12"/>
        <v>0</v>
      </c>
    </row>
    <row r="141" spans="1:57" x14ac:dyDescent="0.25">
      <c r="A141" s="42" t="s">
        <v>380</v>
      </c>
      <c r="B141" s="43">
        <v>1</v>
      </c>
      <c r="C141" s="42" t="s">
        <v>64</v>
      </c>
      <c r="D141" t="s">
        <v>381</v>
      </c>
      <c r="E141" s="10"/>
      <c r="F141" s="11"/>
      <c r="G141" s="12"/>
      <c r="H141" s="13"/>
      <c r="J141" s="6"/>
      <c r="K141" s="7"/>
      <c r="L141" s="8"/>
      <c r="M141" s="9"/>
      <c r="O141" s="10"/>
      <c r="P141" s="11"/>
      <c r="Q141" s="12"/>
      <c r="R141" s="13"/>
      <c r="T141" s="6"/>
      <c r="U141" s="7"/>
      <c r="V141" s="8"/>
      <c r="W141" s="9"/>
      <c r="Y141" s="10"/>
      <c r="Z141" s="11"/>
      <c r="AA141" s="12"/>
      <c r="AB141" s="13"/>
      <c r="AD141" s="6"/>
      <c r="AE141" s="7"/>
      <c r="AF141" s="8"/>
      <c r="AG141" s="9"/>
      <c r="AI141" s="10"/>
      <c r="AJ141" s="11"/>
      <c r="AK141" s="12"/>
      <c r="AL141" s="13"/>
      <c r="AN141" s="6"/>
      <c r="AO141" s="7"/>
      <c r="AP141" s="8"/>
      <c r="AQ141" s="9"/>
      <c r="AS141" s="10"/>
      <c r="AT141" s="11"/>
      <c r="AU141" s="12"/>
      <c r="AV141" s="13"/>
      <c r="AX141" s="6"/>
      <c r="AY141" s="7"/>
      <c r="AZ141" s="8"/>
      <c r="BA141" s="9"/>
      <c r="BC141" s="46">
        <f t="shared" si="19"/>
        <v>0</v>
      </c>
      <c r="BD141" s="47">
        <f>(SUM(BE141,'Run distances (Term 2)'!BI141,'Run distances (Term 3)'!BI141,'Run distances (Term 4)'!BI141))</f>
        <v>7.4999999999999991</v>
      </c>
      <c r="BE141" s="47">
        <f t="shared" si="12"/>
        <v>0</v>
      </c>
    </row>
    <row r="142" spans="1:57" x14ac:dyDescent="0.25">
      <c r="A142" s="42" t="s">
        <v>174</v>
      </c>
      <c r="B142" s="42" t="s">
        <v>53</v>
      </c>
      <c r="C142" s="42" t="s">
        <v>64</v>
      </c>
      <c r="D142" t="s">
        <v>54</v>
      </c>
      <c r="E142" s="10"/>
      <c r="F142" s="11"/>
      <c r="G142" s="12"/>
      <c r="H142" s="13"/>
      <c r="J142" s="6"/>
      <c r="K142" s="7"/>
      <c r="L142" s="8"/>
      <c r="M142" s="9">
        <v>1</v>
      </c>
      <c r="O142" s="10"/>
      <c r="P142" s="11"/>
      <c r="Q142" s="12"/>
      <c r="R142" s="13"/>
      <c r="T142" s="6"/>
      <c r="U142" s="7"/>
      <c r="V142" s="8"/>
      <c r="W142" s="9"/>
      <c r="Y142" s="10"/>
      <c r="Z142" s="11"/>
      <c r="AA142" s="12"/>
      <c r="AB142" s="13"/>
      <c r="AD142" s="6"/>
      <c r="AE142" s="7"/>
      <c r="AF142" s="8"/>
      <c r="AG142" s="9"/>
      <c r="AI142" s="10"/>
      <c r="AJ142" s="11"/>
      <c r="AK142" s="12">
        <v>1</v>
      </c>
      <c r="AL142" s="13">
        <v>1</v>
      </c>
      <c r="AN142" s="6"/>
      <c r="AO142" s="7"/>
      <c r="AP142" s="8"/>
      <c r="AQ142" s="9"/>
      <c r="AS142" s="10"/>
      <c r="AT142" s="11"/>
      <c r="AU142" s="12"/>
      <c r="AV142" s="13"/>
      <c r="AX142" s="6"/>
      <c r="AY142" s="7"/>
      <c r="AZ142" s="8"/>
      <c r="BA142" s="9"/>
      <c r="BC142" s="46">
        <f t="shared" si="19"/>
        <v>3</v>
      </c>
      <c r="BD142" s="47">
        <f>(SUM(BE142,'Run distances (Term 2)'!BI142,'Run distances (Term 3)'!BI142,'Run distances (Term 4)'!BI142))</f>
        <v>6.2999999999999989</v>
      </c>
      <c r="BE142" s="47">
        <f t="shared" si="12"/>
        <v>0.89999999999999991</v>
      </c>
    </row>
    <row r="143" spans="1:57" x14ac:dyDescent="0.25">
      <c r="A143" s="42" t="s">
        <v>375</v>
      </c>
      <c r="B143" s="42" t="s">
        <v>53</v>
      </c>
      <c r="C143" s="42" t="s">
        <v>64</v>
      </c>
      <c r="D143" t="s">
        <v>54</v>
      </c>
      <c r="E143" s="10"/>
      <c r="F143" s="11"/>
      <c r="G143" s="12"/>
      <c r="H143" s="13"/>
      <c r="J143" s="6"/>
      <c r="K143" s="7"/>
      <c r="L143" s="8"/>
      <c r="M143" s="9"/>
      <c r="O143" s="10"/>
      <c r="P143" s="11"/>
      <c r="Q143" s="12"/>
      <c r="R143" s="13"/>
      <c r="T143" s="6"/>
      <c r="U143" s="7"/>
      <c r="V143" s="8"/>
      <c r="W143" s="9"/>
      <c r="Y143" s="10"/>
      <c r="Z143" s="11"/>
      <c r="AA143" s="12"/>
      <c r="AB143" s="13"/>
      <c r="AD143" s="6"/>
      <c r="AE143" s="7"/>
      <c r="AF143" s="8"/>
      <c r="AG143" s="9"/>
      <c r="AI143" s="10"/>
      <c r="AJ143" s="11"/>
      <c r="AK143" s="12">
        <v>1</v>
      </c>
      <c r="AL143" s="13">
        <v>1</v>
      </c>
      <c r="AN143" s="6"/>
      <c r="AO143" s="7"/>
      <c r="AP143" s="8"/>
      <c r="AQ143" s="9"/>
      <c r="AS143" s="10"/>
      <c r="AT143" s="11"/>
      <c r="AU143" s="12"/>
      <c r="AV143" s="13"/>
      <c r="AX143" s="6"/>
      <c r="AY143" s="7"/>
      <c r="AZ143" s="8"/>
      <c r="BA143" s="9">
        <v>1</v>
      </c>
      <c r="BC143" s="46">
        <f t="shared" si="19"/>
        <v>3</v>
      </c>
      <c r="BD143" s="47">
        <f>(SUM(BE143,'Run distances (Term 2)'!BI143,'Run distances (Term 3)'!BI143,'Run distances (Term 4)'!BI143))</f>
        <v>6.6</v>
      </c>
      <c r="BE143" s="47">
        <f t="shared" si="12"/>
        <v>0.89999999999999991</v>
      </c>
    </row>
    <row r="144" spans="1:57" x14ac:dyDescent="0.25">
      <c r="A144" s="42" t="s">
        <v>376</v>
      </c>
      <c r="B144" s="42" t="s">
        <v>53</v>
      </c>
      <c r="C144" s="42" t="s">
        <v>64</v>
      </c>
      <c r="D144" t="s">
        <v>54</v>
      </c>
      <c r="E144" s="10">
        <v>0</v>
      </c>
      <c r="F144" s="11">
        <v>0</v>
      </c>
      <c r="G144" s="12">
        <v>0</v>
      </c>
      <c r="H144" s="13">
        <v>2</v>
      </c>
      <c r="J144" s="6"/>
      <c r="K144" s="7"/>
      <c r="L144" s="8"/>
      <c r="M144" s="9">
        <v>2</v>
      </c>
      <c r="O144" s="10">
        <v>2</v>
      </c>
      <c r="P144" s="11">
        <v>2</v>
      </c>
      <c r="Q144" s="12">
        <v>2</v>
      </c>
      <c r="R144" s="13">
        <v>1</v>
      </c>
      <c r="T144" s="6">
        <v>4</v>
      </c>
      <c r="U144" s="7">
        <v>3</v>
      </c>
      <c r="V144" s="8"/>
      <c r="W144" s="9">
        <v>2</v>
      </c>
      <c r="Y144" s="10">
        <v>2</v>
      </c>
      <c r="Z144" s="11">
        <v>1</v>
      </c>
      <c r="AA144" s="12">
        <v>1</v>
      </c>
      <c r="AB144" s="13"/>
      <c r="AD144" s="6"/>
      <c r="AE144" s="7">
        <v>1</v>
      </c>
      <c r="AF144" s="8">
        <v>1</v>
      </c>
      <c r="AG144" s="9"/>
      <c r="AI144" s="10"/>
      <c r="AJ144" s="11"/>
      <c r="AK144" s="12"/>
      <c r="AL144" s="13">
        <v>1</v>
      </c>
      <c r="AN144" s="6"/>
      <c r="AO144" s="7"/>
      <c r="AP144" s="8"/>
      <c r="AQ144" s="9"/>
      <c r="AS144" s="10"/>
      <c r="AT144" s="11"/>
      <c r="AU144" s="12"/>
      <c r="AV144" s="13"/>
      <c r="AX144" s="6"/>
      <c r="AY144" s="7"/>
      <c r="AZ144" s="8"/>
      <c r="BA144" s="9"/>
      <c r="BC144" s="46">
        <f t="shared" si="19"/>
        <v>27</v>
      </c>
      <c r="BD144" s="47">
        <f>(SUM(BE144,'Run distances (Term 2)'!BI144,'Run distances (Term 3)'!BI144,'Run distances (Term 4)'!BI144))</f>
        <v>16.5</v>
      </c>
      <c r="BE144" s="47">
        <f t="shared" si="12"/>
        <v>8.1</v>
      </c>
    </row>
    <row r="145" spans="1:57" x14ac:dyDescent="0.25">
      <c r="A145" s="42" t="s">
        <v>349</v>
      </c>
      <c r="B145" s="42">
        <v>1</v>
      </c>
      <c r="C145" s="42" t="s">
        <v>64</v>
      </c>
      <c r="D145" t="s">
        <v>355</v>
      </c>
      <c r="E145" s="10"/>
      <c r="F145" s="11"/>
      <c r="G145" s="12"/>
      <c r="H145" s="13"/>
      <c r="J145" s="6"/>
      <c r="K145" s="7"/>
      <c r="L145" s="8"/>
      <c r="M145" s="9"/>
      <c r="O145" s="10"/>
      <c r="P145" s="11"/>
      <c r="Q145" s="12"/>
      <c r="R145" s="13"/>
      <c r="T145" s="6"/>
      <c r="U145" s="7"/>
      <c r="V145" s="8"/>
      <c r="W145" s="9"/>
      <c r="Y145" s="10"/>
      <c r="Z145" s="11"/>
      <c r="AA145" s="12"/>
      <c r="AB145" s="13"/>
      <c r="AD145" s="6"/>
      <c r="AE145" s="7"/>
      <c r="AF145" s="8"/>
      <c r="AG145" s="9"/>
      <c r="AI145" s="10"/>
      <c r="AJ145" s="11"/>
      <c r="AK145" s="12"/>
      <c r="AL145" s="13"/>
      <c r="AN145" s="6"/>
      <c r="AO145" s="7"/>
      <c r="AP145" s="8"/>
      <c r="AQ145" s="9"/>
      <c r="AS145" s="10"/>
      <c r="AT145" s="11"/>
      <c r="AU145" s="12"/>
      <c r="AV145" s="13"/>
      <c r="AX145" s="6"/>
      <c r="AY145" s="7"/>
      <c r="AZ145" s="8"/>
      <c r="BA145" s="9"/>
      <c r="BC145" s="46">
        <f t="shared" si="19"/>
        <v>0</v>
      </c>
      <c r="BD145" s="47">
        <f>(SUM(BE145,'Run distances (Term 2)'!BI145,'Run distances (Term 3)'!BI145,'Run distances (Term 4)'!BI145))</f>
        <v>3</v>
      </c>
      <c r="BE145" s="47">
        <f t="shared" si="12"/>
        <v>0</v>
      </c>
    </row>
    <row r="146" spans="1:57" x14ac:dyDescent="0.25">
      <c r="A146" s="42" t="s">
        <v>382</v>
      </c>
      <c r="B146" s="42" t="s">
        <v>53</v>
      </c>
      <c r="C146" s="42" t="s">
        <v>64</v>
      </c>
      <c r="D146" s="50" t="s">
        <v>54</v>
      </c>
      <c r="E146" s="10"/>
      <c r="F146" s="11"/>
      <c r="G146" s="12"/>
      <c r="H146" s="13"/>
      <c r="J146" s="6"/>
      <c r="K146" s="7"/>
      <c r="L146" s="8"/>
      <c r="M146" s="9"/>
      <c r="O146" s="10"/>
      <c r="P146" s="11"/>
      <c r="Q146" s="12"/>
      <c r="R146" s="13"/>
      <c r="T146" s="6"/>
      <c r="U146" s="7"/>
      <c r="V146" s="8"/>
      <c r="W146" s="9"/>
      <c r="Y146" s="10"/>
      <c r="Z146" s="11"/>
      <c r="AA146" s="12"/>
      <c r="AB146" s="13"/>
      <c r="AD146" s="6"/>
      <c r="AE146" s="7"/>
      <c r="AF146" s="8"/>
      <c r="AG146" s="9"/>
      <c r="AI146" s="10"/>
      <c r="AJ146" s="11"/>
      <c r="AK146" s="12"/>
      <c r="AL146" s="13"/>
      <c r="AN146" s="6"/>
      <c r="AO146" s="7"/>
      <c r="AP146" s="8"/>
      <c r="AQ146" s="9"/>
      <c r="AS146" s="10"/>
      <c r="AT146" s="11"/>
      <c r="AU146" s="12"/>
      <c r="AV146" s="13"/>
      <c r="AX146" s="6"/>
      <c r="AY146" s="7"/>
      <c r="AZ146" s="8"/>
      <c r="BA146" s="9"/>
      <c r="BC146" s="46">
        <f t="shared" si="19"/>
        <v>0</v>
      </c>
      <c r="BD146" s="47">
        <f>(SUM(BE146,'Run distances (Term 2)'!BI146,'Run distances (Term 3)'!BI146,'Run distances (Term 4)'!BI146))</f>
        <v>2.1</v>
      </c>
      <c r="BE146" s="47">
        <f t="shared" si="12"/>
        <v>0</v>
      </c>
    </row>
    <row r="147" spans="1:57" x14ac:dyDescent="0.25">
      <c r="A147" s="42" t="s">
        <v>346</v>
      </c>
      <c r="B147" s="42"/>
      <c r="C147" s="42" t="s">
        <v>64</v>
      </c>
      <c r="D147" s="51"/>
      <c r="E147" s="10"/>
      <c r="F147" s="11"/>
      <c r="G147" s="12"/>
      <c r="H147" s="13"/>
      <c r="J147" s="6"/>
      <c r="K147" s="7"/>
      <c r="L147" s="8"/>
      <c r="M147" s="9"/>
      <c r="O147" s="10"/>
      <c r="P147" s="11"/>
      <c r="Q147" s="12"/>
      <c r="R147" s="13"/>
      <c r="T147" s="6"/>
      <c r="U147" s="7"/>
      <c r="V147" s="8"/>
      <c r="W147" s="9"/>
      <c r="Y147" s="10"/>
      <c r="Z147" s="11"/>
      <c r="AA147" s="12"/>
      <c r="AB147" s="13"/>
      <c r="AD147" s="6"/>
      <c r="AE147" s="7"/>
      <c r="AF147" s="8"/>
      <c r="AG147" s="9"/>
      <c r="AI147" s="10"/>
      <c r="AJ147" s="11"/>
      <c r="AK147" s="12"/>
      <c r="AL147" s="13"/>
      <c r="AN147" s="6"/>
      <c r="AO147" s="7"/>
      <c r="AP147" s="8"/>
      <c r="AQ147" s="9"/>
      <c r="AS147" s="10"/>
      <c r="AT147" s="11"/>
      <c r="AU147" s="12"/>
      <c r="AV147" s="13"/>
      <c r="AX147" s="6"/>
      <c r="AY147" s="7"/>
      <c r="AZ147" s="8"/>
      <c r="BA147" s="9"/>
      <c r="BC147" s="46">
        <f t="shared" si="19"/>
        <v>0</v>
      </c>
      <c r="BD147" s="47">
        <f>(SUM(BE147,'Run distances (Term 2)'!BI147,'Run distances (Term 3)'!BI147,'Run distances (Term 4)'!BI147))</f>
        <v>4.8</v>
      </c>
      <c r="BE147" s="47">
        <f t="shared" si="12"/>
        <v>0</v>
      </c>
    </row>
    <row r="148" spans="1:57" x14ac:dyDescent="0.25">
      <c r="A148" s="42" t="s">
        <v>418</v>
      </c>
      <c r="B148" s="42">
        <v>5</v>
      </c>
      <c r="C148" s="42" t="s">
        <v>64</v>
      </c>
      <c r="D148" s="51"/>
      <c r="E148" s="10"/>
      <c r="F148" s="11"/>
      <c r="G148" s="12"/>
      <c r="H148" s="13"/>
      <c r="J148" s="6"/>
      <c r="K148" s="7"/>
      <c r="L148" s="8"/>
      <c r="M148" s="9"/>
      <c r="O148" s="10"/>
      <c r="P148" s="11"/>
      <c r="Q148" s="12"/>
      <c r="R148" s="13"/>
      <c r="T148" s="6"/>
      <c r="U148" s="7"/>
      <c r="V148" s="8"/>
      <c r="W148" s="9"/>
      <c r="Y148" s="10"/>
      <c r="Z148" s="11"/>
      <c r="AA148" s="12"/>
      <c r="AB148" s="13"/>
      <c r="AD148" s="6"/>
      <c r="AE148" s="7"/>
      <c r="AF148" s="8"/>
      <c r="AG148" s="9"/>
      <c r="AI148" s="10"/>
      <c r="AJ148" s="11"/>
      <c r="AK148" s="12"/>
      <c r="AL148" s="13"/>
      <c r="AN148" s="6"/>
      <c r="AO148" s="7"/>
      <c r="AP148" s="8"/>
      <c r="AQ148" s="9"/>
      <c r="AS148" s="10"/>
      <c r="AT148" s="11"/>
      <c r="AU148" s="12"/>
      <c r="AV148" s="13"/>
      <c r="AX148" s="6"/>
      <c r="AY148" s="7"/>
      <c r="AZ148" s="8"/>
      <c r="BA148" s="9"/>
      <c r="BC148" s="46">
        <f t="shared" si="19"/>
        <v>0</v>
      </c>
      <c r="BD148" s="47">
        <f>(SUM(BE148,'Run distances (Term 2)'!BI148,'Run distances (Term 3)'!BI148,'Run distances (Term 4)'!BI148))</f>
        <v>6.3</v>
      </c>
      <c r="BE148" s="47">
        <f t="shared" si="12"/>
        <v>0</v>
      </c>
    </row>
    <row r="149" spans="1:57" x14ac:dyDescent="0.25">
      <c r="A149" s="42" t="s">
        <v>350</v>
      </c>
      <c r="B149" s="42">
        <v>3</v>
      </c>
      <c r="C149" s="42" t="s">
        <v>64</v>
      </c>
      <c r="D149" s="51"/>
      <c r="E149" s="10"/>
      <c r="F149" s="11"/>
      <c r="G149" s="12"/>
      <c r="H149" s="13"/>
      <c r="J149" s="6"/>
      <c r="K149" s="7"/>
      <c r="L149" s="8"/>
      <c r="M149" s="9"/>
      <c r="O149" s="10"/>
      <c r="P149" s="11"/>
      <c r="Q149" s="12"/>
      <c r="R149" s="13"/>
      <c r="T149" s="6"/>
      <c r="U149" s="7"/>
      <c r="V149" s="8"/>
      <c r="W149" s="9"/>
      <c r="Y149" s="10"/>
      <c r="Z149" s="11"/>
      <c r="AA149" s="12"/>
      <c r="AB149" s="13"/>
      <c r="AD149" s="6"/>
      <c r="AE149" s="7"/>
      <c r="AF149" s="8"/>
      <c r="AG149" s="9"/>
      <c r="AI149" s="10"/>
      <c r="AJ149" s="11"/>
      <c r="AK149" s="12"/>
      <c r="AL149" s="13"/>
      <c r="AN149" s="6"/>
      <c r="AO149" s="7"/>
      <c r="AP149" s="8"/>
      <c r="AQ149" s="9"/>
      <c r="AS149" s="10"/>
      <c r="AT149" s="11"/>
      <c r="AU149" s="12"/>
      <c r="AV149" s="13"/>
      <c r="AX149" s="6"/>
      <c r="AY149" s="7"/>
      <c r="AZ149" s="8"/>
      <c r="BA149" s="9"/>
      <c r="BC149" s="46">
        <f t="shared" si="19"/>
        <v>0</v>
      </c>
      <c r="BD149" s="47">
        <f>(SUM(BE149,'Run distances (Term 2)'!BI149,'Run distances (Term 3)'!BI149,'Run distances (Term 4)'!BI149))</f>
        <v>0.6</v>
      </c>
      <c r="BE149" s="47">
        <f t="shared" si="12"/>
        <v>0</v>
      </c>
    </row>
    <row r="150" spans="1:57" x14ac:dyDescent="0.25">
      <c r="A150" s="42" t="s">
        <v>429</v>
      </c>
      <c r="B150" s="42"/>
      <c r="C150" s="42" t="s">
        <v>64</v>
      </c>
      <c r="D150" s="51"/>
      <c r="E150" s="10"/>
      <c r="F150" s="11"/>
      <c r="G150" s="12"/>
      <c r="H150" s="13"/>
      <c r="J150" s="6"/>
      <c r="K150" s="7"/>
      <c r="L150" s="8"/>
      <c r="M150" s="9"/>
      <c r="O150" s="10"/>
      <c r="P150" s="11"/>
      <c r="Q150" s="12"/>
      <c r="R150" s="13"/>
      <c r="T150" s="6"/>
      <c r="U150" s="7"/>
      <c r="V150" s="8"/>
      <c r="W150" s="9"/>
      <c r="Y150" s="10"/>
      <c r="Z150" s="11"/>
      <c r="AA150" s="12"/>
      <c r="AB150" s="13"/>
      <c r="AD150" s="6"/>
      <c r="AE150" s="7"/>
      <c r="AF150" s="8"/>
      <c r="AG150" s="9"/>
      <c r="AI150" s="10"/>
      <c r="AJ150" s="11"/>
      <c r="AK150" s="12"/>
      <c r="AL150" s="13"/>
      <c r="AN150" s="6"/>
      <c r="AO150" s="7"/>
      <c r="AP150" s="8"/>
      <c r="AQ150" s="9"/>
      <c r="AS150" s="10"/>
      <c r="AT150" s="11"/>
      <c r="AU150" s="12"/>
      <c r="AV150" s="13"/>
      <c r="AX150" s="6"/>
      <c r="AY150" s="7"/>
      <c r="AZ150" s="8"/>
      <c r="BA150" s="9"/>
      <c r="BC150" s="46">
        <f t="shared" si="19"/>
        <v>0</v>
      </c>
      <c r="BD150" s="47">
        <f>(SUM(BE150,'Run distances (Term 2)'!BI150,'Run distances (Term 3)'!BI150,'Run distances (Term 4)'!BI150))</f>
        <v>7.5</v>
      </c>
      <c r="BE150" s="47">
        <f t="shared" si="12"/>
        <v>0</v>
      </c>
    </row>
    <row r="151" spans="1:57" x14ac:dyDescent="0.25">
      <c r="A151" s="42" t="s">
        <v>430</v>
      </c>
      <c r="B151" s="42"/>
      <c r="C151" s="42" t="s">
        <v>64</v>
      </c>
      <c r="D151" s="51"/>
      <c r="E151" s="10"/>
      <c r="F151" s="11"/>
      <c r="G151" s="12"/>
      <c r="H151" s="13"/>
      <c r="J151" s="6"/>
      <c r="K151" s="7"/>
      <c r="L151" s="8"/>
      <c r="M151" s="9"/>
      <c r="O151" s="10"/>
      <c r="P151" s="11"/>
      <c r="Q151" s="12"/>
      <c r="R151" s="13"/>
      <c r="T151" s="6"/>
      <c r="U151" s="7"/>
      <c r="V151" s="8"/>
      <c r="W151" s="9"/>
      <c r="Y151" s="10"/>
      <c r="Z151" s="11"/>
      <c r="AA151" s="12"/>
      <c r="AB151" s="13"/>
      <c r="AD151" s="6"/>
      <c r="AE151" s="7"/>
      <c r="AF151" s="8"/>
      <c r="AG151" s="9"/>
      <c r="AI151" s="10"/>
      <c r="AJ151" s="11"/>
      <c r="AK151" s="12"/>
      <c r="AL151" s="13"/>
      <c r="AN151" s="6"/>
      <c r="AO151" s="7"/>
      <c r="AP151" s="8"/>
      <c r="AQ151" s="9"/>
      <c r="AS151" s="10"/>
      <c r="AT151" s="11"/>
      <c r="AU151" s="12"/>
      <c r="AV151" s="13"/>
      <c r="AX151" s="6"/>
      <c r="AY151" s="7"/>
      <c r="AZ151" s="8"/>
      <c r="BA151" s="9"/>
      <c r="BC151" s="46">
        <f t="shared" si="19"/>
        <v>0</v>
      </c>
      <c r="BD151" s="47">
        <f>(SUM(BE151,'Run distances (Term 2)'!BI151,'Run distances (Term 3)'!BI151,'Run distances (Term 4)'!BI151))</f>
        <v>2.4</v>
      </c>
      <c r="BE151" s="47">
        <f t="shared" si="12"/>
        <v>0</v>
      </c>
    </row>
    <row r="152" spans="1:57" x14ac:dyDescent="0.25">
      <c r="A152" s="42" t="s">
        <v>431</v>
      </c>
      <c r="B152" s="42"/>
      <c r="C152" s="42" t="s">
        <v>64</v>
      </c>
      <c r="D152" s="51"/>
      <c r="E152" s="10"/>
      <c r="F152" s="11"/>
      <c r="G152" s="12"/>
      <c r="H152" s="13"/>
      <c r="J152" s="6"/>
      <c r="K152" s="7"/>
      <c r="L152" s="8"/>
      <c r="M152" s="9"/>
      <c r="O152" s="10"/>
      <c r="P152" s="11"/>
      <c r="Q152" s="12"/>
      <c r="R152" s="13"/>
      <c r="T152" s="6"/>
      <c r="U152" s="7"/>
      <c r="V152" s="8"/>
      <c r="W152" s="9"/>
      <c r="Y152" s="10"/>
      <c r="Z152" s="11"/>
      <c r="AA152" s="12"/>
      <c r="AB152" s="13"/>
      <c r="AD152" s="6"/>
      <c r="AE152" s="7"/>
      <c r="AF152" s="8"/>
      <c r="AG152" s="9"/>
      <c r="AI152" s="10"/>
      <c r="AJ152" s="11"/>
      <c r="AK152" s="12"/>
      <c r="AL152" s="13"/>
      <c r="AN152" s="6"/>
      <c r="AO152" s="7"/>
      <c r="AP152" s="8"/>
      <c r="AQ152" s="9"/>
      <c r="AS152" s="10"/>
      <c r="AT152" s="11"/>
      <c r="AU152" s="12"/>
      <c r="AV152" s="13"/>
      <c r="AX152" s="6"/>
      <c r="AY152" s="7"/>
      <c r="AZ152" s="8"/>
      <c r="BA152" s="9"/>
      <c r="BC152" s="46">
        <f t="shared" si="19"/>
        <v>0</v>
      </c>
      <c r="BD152" s="47">
        <f>(SUM(BE152,'Run distances (Term 2)'!BI152,'Run distances (Term 3)'!BI152,'Run distances (Term 4)'!BI152))</f>
        <v>1.5</v>
      </c>
      <c r="BE152" s="47">
        <f t="shared" si="12"/>
        <v>0</v>
      </c>
    </row>
    <row r="153" spans="1:57" x14ac:dyDescent="0.25">
      <c r="A153" s="42" t="s">
        <v>432</v>
      </c>
      <c r="B153" s="42"/>
      <c r="C153" s="42" t="s">
        <v>64</v>
      </c>
      <c r="D153" s="51"/>
      <c r="E153" s="10"/>
      <c r="F153" s="11"/>
      <c r="G153" s="12"/>
      <c r="H153" s="13"/>
      <c r="J153" s="6"/>
      <c r="K153" s="7"/>
      <c r="L153" s="8"/>
      <c r="M153" s="9"/>
      <c r="O153" s="10"/>
      <c r="P153" s="11"/>
      <c r="Q153" s="12"/>
      <c r="R153" s="13"/>
      <c r="T153" s="6"/>
      <c r="U153" s="7"/>
      <c r="V153" s="8"/>
      <c r="W153" s="9"/>
      <c r="Y153" s="10"/>
      <c r="Z153" s="11"/>
      <c r="AA153" s="12"/>
      <c r="AB153" s="13"/>
      <c r="AD153" s="6"/>
      <c r="AE153" s="7"/>
      <c r="AF153" s="8"/>
      <c r="AG153" s="9"/>
      <c r="AI153" s="10"/>
      <c r="AJ153" s="11"/>
      <c r="AK153" s="12"/>
      <c r="AL153" s="13"/>
      <c r="AN153" s="6"/>
      <c r="AO153" s="7"/>
      <c r="AP153" s="8"/>
      <c r="AQ153" s="9"/>
      <c r="AS153" s="10"/>
      <c r="AT153" s="11"/>
      <c r="AU153" s="12"/>
      <c r="AV153" s="13"/>
      <c r="AX153" s="6"/>
      <c r="AY153" s="7"/>
      <c r="AZ153" s="8"/>
      <c r="BA153" s="9"/>
      <c r="BC153" s="46">
        <f t="shared" si="19"/>
        <v>0</v>
      </c>
      <c r="BD153" s="47">
        <f>(SUM(BE153,'Run distances (Term 2)'!BI153,'Run distances (Term 3)'!BI153,'Run distances (Term 4)'!BI153))</f>
        <v>5.0999999999999996</v>
      </c>
      <c r="BE153" s="47">
        <f t="shared" si="12"/>
        <v>0</v>
      </c>
    </row>
    <row r="154" spans="1:57" x14ac:dyDescent="0.25">
      <c r="A154" s="42" t="s">
        <v>433</v>
      </c>
      <c r="B154" s="42"/>
      <c r="C154" s="42" t="s">
        <v>64</v>
      </c>
      <c r="D154" s="51"/>
      <c r="E154" s="10"/>
      <c r="F154" s="11"/>
      <c r="G154" s="12"/>
      <c r="H154" s="13"/>
      <c r="J154" s="6"/>
      <c r="K154" s="7"/>
      <c r="L154" s="8"/>
      <c r="M154" s="9"/>
      <c r="O154" s="10"/>
      <c r="P154" s="11"/>
      <c r="Q154" s="12"/>
      <c r="R154" s="13"/>
      <c r="T154" s="6"/>
      <c r="U154" s="7"/>
      <c r="V154" s="8"/>
      <c r="W154" s="9"/>
      <c r="Y154" s="10"/>
      <c r="Z154" s="11"/>
      <c r="AA154" s="12"/>
      <c r="AB154" s="13"/>
      <c r="AD154" s="6"/>
      <c r="AE154" s="7"/>
      <c r="AF154" s="8"/>
      <c r="AG154" s="9"/>
      <c r="AI154" s="10"/>
      <c r="AJ154" s="11"/>
      <c r="AK154" s="12"/>
      <c r="AL154" s="13"/>
      <c r="AN154" s="6"/>
      <c r="AO154" s="7"/>
      <c r="AP154" s="8"/>
      <c r="AQ154" s="9"/>
      <c r="AS154" s="10"/>
      <c r="AT154" s="11"/>
      <c r="AU154" s="12"/>
      <c r="AV154" s="13"/>
      <c r="AX154" s="6"/>
      <c r="AY154" s="7"/>
      <c r="AZ154" s="8"/>
      <c r="BA154" s="9"/>
      <c r="BC154" s="46">
        <f t="shared" si="19"/>
        <v>0</v>
      </c>
      <c r="BD154" s="47">
        <f>(SUM(BE154,'Run distances (Term 2)'!BI154,'Run distances (Term 3)'!BI154,'Run distances (Term 4)'!BI154))</f>
        <v>4.8</v>
      </c>
      <c r="BE154" s="47">
        <f t="shared" si="12"/>
        <v>0</v>
      </c>
    </row>
    <row r="155" spans="1:57" x14ac:dyDescent="0.25">
      <c r="A155" s="42" t="s">
        <v>383</v>
      </c>
      <c r="B155" s="42"/>
      <c r="C155" s="42" t="s">
        <v>64</v>
      </c>
      <c r="E155" s="10"/>
      <c r="F155" s="11"/>
      <c r="G155" s="12"/>
      <c r="H155" s="13"/>
      <c r="J155" s="6"/>
      <c r="K155" s="7"/>
      <c r="L155" s="8"/>
      <c r="M155" s="9"/>
      <c r="O155" s="10"/>
      <c r="P155" s="11"/>
      <c r="Q155" s="12"/>
      <c r="R155" s="13"/>
      <c r="T155" s="6"/>
      <c r="U155" s="7"/>
      <c r="V155" s="8"/>
      <c r="W155" s="9"/>
      <c r="Y155" s="10"/>
      <c r="Z155" s="11"/>
      <c r="AA155" s="12"/>
      <c r="AB155" s="13"/>
      <c r="AD155" s="6"/>
      <c r="AE155" s="7"/>
      <c r="AF155" s="8"/>
      <c r="AG155" s="9"/>
      <c r="AI155" s="10"/>
      <c r="AJ155" s="11"/>
      <c r="AK155" s="12"/>
      <c r="AL155" s="13"/>
      <c r="AN155" s="6"/>
      <c r="AO155" s="7"/>
      <c r="AP155" s="8"/>
      <c r="AQ155" s="9"/>
      <c r="AS155" s="10"/>
      <c r="AT155" s="11"/>
      <c r="AU155" s="12"/>
      <c r="AV155" s="13"/>
      <c r="AX155" s="6"/>
      <c r="AY155" s="7"/>
      <c r="AZ155" s="8"/>
      <c r="BA155" s="9"/>
      <c r="BC155" s="46">
        <f t="shared" ref="BC155:BC159" si="20">SUM(E155:BA155)</f>
        <v>0</v>
      </c>
      <c r="BD155" s="47">
        <f>(SUM(BE155,'Run distances (Term 2)'!BI155,'Run distances (Term 3)'!BI155,'Run distances (Term 4)'!BI155))</f>
        <v>1.7999999999999998</v>
      </c>
      <c r="BE155" s="47">
        <f t="shared" ref="BE155:BE159" si="21">(SUM(E155:BB155)*$D$2)</f>
        <v>0</v>
      </c>
    </row>
    <row r="156" spans="1:57" x14ac:dyDescent="0.25">
      <c r="A156" s="42" t="s">
        <v>442</v>
      </c>
      <c r="B156" s="42"/>
      <c r="C156" s="42" t="s">
        <v>64</v>
      </c>
      <c r="E156" s="10"/>
      <c r="F156" s="11"/>
      <c r="G156" s="12"/>
      <c r="H156" s="13"/>
      <c r="J156" s="6"/>
      <c r="K156" s="7"/>
      <c r="L156" s="8"/>
      <c r="M156" s="9"/>
      <c r="O156" s="10"/>
      <c r="P156" s="11"/>
      <c r="Q156" s="12"/>
      <c r="R156" s="13"/>
      <c r="T156" s="6"/>
      <c r="U156" s="7"/>
      <c r="V156" s="8"/>
      <c r="W156" s="9"/>
      <c r="Y156" s="10"/>
      <c r="Z156" s="11"/>
      <c r="AA156" s="12"/>
      <c r="AB156" s="13"/>
      <c r="AD156" s="6"/>
      <c r="AE156" s="7"/>
      <c r="AF156" s="8"/>
      <c r="AG156" s="9"/>
      <c r="AI156" s="10"/>
      <c r="AJ156" s="11"/>
      <c r="AK156" s="12"/>
      <c r="AL156" s="13"/>
      <c r="AN156" s="6"/>
      <c r="AO156" s="7"/>
      <c r="AP156" s="8"/>
      <c r="AQ156" s="9"/>
      <c r="AS156" s="10"/>
      <c r="AT156" s="11"/>
      <c r="AU156" s="12"/>
      <c r="AV156" s="13"/>
      <c r="AX156" s="6"/>
      <c r="AY156" s="7"/>
      <c r="AZ156" s="8"/>
      <c r="BA156" s="9"/>
      <c r="BC156" s="46">
        <f t="shared" si="20"/>
        <v>0</v>
      </c>
      <c r="BD156" s="47">
        <f>(SUM(BE156,'Run distances (Term 2)'!BI156,'Run distances (Term 3)'!BI156,'Run distances (Term 4)'!BI156))</f>
        <v>0.6</v>
      </c>
      <c r="BE156" s="47">
        <f t="shared" si="21"/>
        <v>0</v>
      </c>
    </row>
    <row r="157" spans="1:57" x14ac:dyDescent="0.25">
      <c r="A157" s="42" t="s">
        <v>443</v>
      </c>
      <c r="B157" s="42"/>
      <c r="C157" s="42" t="s">
        <v>64</v>
      </c>
      <c r="E157" s="10"/>
      <c r="F157" s="11"/>
      <c r="G157" s="12"/>
      <c r="H157" s="13"/>
      <c r="J157" s="6"/>
      <c r="K157" s="7"/>
      <c r="L157" s="8"/>
      <c r="M157" s="9"/>
      <c r="O157" s="10"/>
      <c r="P157" s="11"/>
      <c r="Q157" s="12"/>
      <c r="R157" s="13"/>
      <c r="T157" s="6"/>
      <c r="U157" s="7"/>
      <c r="V157" s="8"/>
      <c r="W157" s="9"/>
      <c r="Y157" s="10"/>
      <c r="Z157" s="11"/>
      <c r="AA157" s="12"/>
      <c r="AB157" s="13"/>
      <c r="AD157" s="6"/>
      <c r="AE157" s="7"/>
      <c r="AF157" s="8"/>
      <c r="AG157" s="9"/>
      <c r="AI157" s="10"/>
      <c r="AJ157" s="11"/>
      <c r="AK157" s="12"/>
      <c r="AL157" s="13"/>
      <c r="AN157" s="6"/>
      <c r="AO157" s="7"/>
      <c r="AP157" s="8"/>
      <c r="AQ157" s="9"/>
      <c r="AS157" s="10"/>
      <c r="AT157" s="11"/>
      <c r="AU157" s="12"/>
      <c r="AV157" s="13"/>
      <c r="AX157" s="6"/>
      <c r="AY157" s="7"/>
      <c r="AZ157" s="8"/>
      <c r="BA157" s="9"/>
      <c r="BC157" s="46">
        <f t="shared" si="20"/>
        <v>0</v>
      </c>
      <c r="BD157" s="47">
        <f>(SUM(BE157,'Run distances (Term 2)'!BI157,'Run distances (Term 3)'!BI157,'Run distances (Term 4)'!BI157))</f>
        <v>0.89999999999999991</v>
      </c>
      <c r="BE157" s="47">
        <f t="shared" si="21"/>
        <v>0</v>
      </c>
    </row>
    <row r="158" spans="1:57" x14ac:dyDescent="0.25">
      <c r="A158" s="42" t="s">
        <v>450</v>
      </c>
      <c r="B158" s="42"/>
      <c r="C158" s="42" t="s">
        <v>64</v>
      </c>
      <c r="E158" s="10"/>
      <c r="F158" s="11"/>
      <c r="G158" s="12"/>
      <c r="H158" s="13"/>
      <c r="J158" s="6"/>
      <c r="K158" s="7"/>
      <c r="L158" s="8"/>
      <c r="M158" s="9"/>
      <c r="O158" s="10"/>
      <c r="P158" s="11"/>
      <c r="Q158" s="12"/>
      <c r="R158" s="13"/>
      <c r="T158" s="6"/>
      <c r="U158" s="7"/>
      <c r="V158" s="8"/>
      <c r="W158" s="9"/>
      <c r="Y158" s="10"/>
      <c r="Z158" s="11"/>
      <c r="AA158" s="12"/>
      <c r="AB158" s="13"/>
      <c r="AD158" s="6"/>
      <c r="AE158" s="7"/>
      <c r="AF158" s="8"/>
      <c r="AG158" s="9"/>
      <c r="AI158" s="10"/>
      <c r="AJ158" s="11"/>
      <c r="AK158" s="12"/>
      <c r="AL158" s="13"/>
      <c r="AN158" s="6"/>
      <c r="AO158" s="7"/>
      <c r="AP158" s="8"/>
      <c r="AQ158" s="9"/>
      <c r="AS158" s="10"/>
      <c r="AT158" s="11"/>
      <c r="AU158" s="12"/>
      <c r="AV158" s="13"/>
      <c r="AX158" s="6"/>
      <c r="AY158" s="7"/>
      <c r="AZ158" s="8"/>
      <c r="BA158" s="9"/>
      <c r="BC158" s="46">
        <f t="shared" si="20"/>
        <v>0</v>
      </c>
      <c r="BD158" s="47">
        <f>(SUM(BE158,'Run distances (Term 2)'!BI158,'Run distances (Term 3)'!BI158,'Run distances (Term 4)'!BI158))</f>
        <v>0.6</v>
      </c>
      <c r="BE158" s="47">
        <f t="shared" si="21"/>
        <v>0</v>
      </c>
    </row>
    <row r="159" spans="1:57" x14ac:dyDescent="0.25">
      <c r="A159" s="42" t="s">
        <v>455</v>
      </c>
      <c r="B159" s="42"/>
      <c r="C159" s="42" t="s">
        <v>64</v>
      </c>
      <c r="E159" s="10"/>
      <c r="F159" s="11"/>
      <c r="G159" s="12"/>
      <c r="H159" s="13"/>
      <c r="J159" s="6"/>
      <c r="K159" s="7"/>
      <c r="L159" s="8"/>
      <c r="M159" s="9"/>
      <c r="O159" s="10"/>
      <c r="P159" s="11"/>
      <c r="Q159" s="12"/>
      <c r="R159" s="13"/>
      <c r="T159" s="6"/>
      <c r="U159" s="7"/>
      <c r="V159" s="8"/>
      <c r="W159" s="9"/>
      <c r="Y159" s="10"/>
      <c r="Z159" s="11"/>
      <c r="AA159" s="12"/>
      <c r="AB159" s="13"/>
      <c r="AD159" s="6"/>
      <c r="AE159" s="7"/>
      <c r="AF159" s="8"/>
      <c r="AG159" s="9"/>
      <c r="AI159" s="10"/>
      <c r="AJ159" s="11"/>
      <c r="AK159" s="12"/>
      <c r="AL159" s="13"/>
      <c r="AN159" s="6"/>
      <c r="AO159" s="7"/>
      <c r="AP159" s="8"/>
      <c r="AQ159" s="9"/>
      <c r="AS159" s="10"/>
      <c r="AT159" s="11"/>
      <c r="AU159" s="12"/>
      <c r="AV159" s="13"/>
      <c r="AX159" s="6"/>
      <c r="AY159" s="7"/>
      <c r="AZ159" s="8"/>
      <c r="BA159" s="9"/>
      <c r="BC159" s="46">
        <f t="shared" si="20"/>
        <v>0</v>
      </c>
      <c r="BD159" s="47">
        <f>(SUM(BE159,'Run distances (Term 2)'!BI159,'Run distances (Term 3)'!BI158,'Run distances (Term 4)'!BI159))</f>
        <v>0.3</v>
      </c>
      <c r="BE159" s="47">
        <f t="shared" si="21"/>
        <v>0</v>
      </c>
    </row>
    <row r="160" spans="1:57" x14ac:dyDescent="0.25">
      <c r="A160" s="42" t="s">
        <v>457</v>
      </c>
      <c r="B160" s="42"/>
      <c r="C160" s="42" t="s">
        <v>64</v>
      </c>
      <c r="E160" s="10"/>
      <c r="F160" s="11"/>
      <c r="G160" s="12"/>
      <c r="H160" s="13"/>
      <c r="J160" s="6"/>
      <c r="K160" s="7"/>
      <c r="L160" s="8"/>
      <c r="M160" s="9"/>
      <c r="O160" s="10"/>
      <c r="P160" s="11"/>
      <c r="Q160" s="12"/>
      <c r="R160" s="13"/>
      <c r="T160" s="6"/>
      <c r="U160" s="7"/>
      <c r="V160" s="8"/>
      <c r="W160" s="9"/>
      <c r="Y160" s="10"/>
      <c r="Z160" s="11"/>
      <c r="AA160" s="12"/>
      <c r="AB160" s="13"/>
      <c r="AD160" s="6"/>
      <c r="AE160" s="7"/>
      <c r="AF160" s="8"/>
      <c r="AG160" s="9"/>
      <c r="AI160" s="10"/>
      <c r="AJ160" s="11"/>
      <c r="AK160" s="12"/>
      <c r="AL160" s="13"/>
      <c r="AN160" s="6"/>
      <c r="AO160" s="7"/>
      <c r="AP160" s="8"/>
      <c r="AQ160" s="9"/>
      <c r="AS160" s="10"/>
      <c r="AT160" s="11"/>
      <c r="AU160" s="12"/>
      <c r="AV160" s="13"/>
      <c r="AX160" s="6"/>
      <c r="AY160" s="7"/>
      <c r="AZ160" s="8"/>
      <c r="BA160" s="9"/>
      <c r="BC160" s="46">
        <f t="shared" si="19"/>
        <v>0</v>
      </c>
      <c r="BD160" s="47">
        <f>(SUM(BE160,'Run distances (Term 2)'!BI160,'Run distances (Term 3)'!BI159,'Run distances (Term 4)'!BI160))</f>
        <v>0.3</v>
      </c>
      <c r="BE160" s="47">
        <f t="shared" si="12"/>
        <v>0</v>
      </c>
    </row>
    <row r="161" spans="1:57" x14ac:dyDescent="0.25">
      <c r="E161" s="10"/>
      <c r="F161" s="11"/>
      <c r="G161" s="12"/>
      <c r="H161" s="13"/>
      <c r="J161" s="6"/>
      <c r="K161" s="7"/>
      <c r="L161" s="8"/>
      <c r="M161" s="9"/>
      <c r="O161" s="10"/>
      <c r="P161" s="11"/>
      <c r="Q161" s="12"/>
      <c r="R161" s="13"/>
      <c r="T161" s="6"/>
      <c r="U161" s="7"/>
      <c r="V161" s="8"/>
      <c r="W161" s="9"/>
      <c r="Y161" s="10"/>
      <c r="Z161" s="11"/>
      <c r="AA161" s="12"/>
      <c r="AB161" s="13"/>
      <c r="AD161" s="6"/>
      <c r="AE161" s="7"/>
      <c r="AF161" s="8"/>
      <c r="AG161" s="9"/>
      <c r="AI161" s="10"/>
      <c r="AJ161" s="11"/>
      <c r="AK161" s="12"/>
      <c r="AL161" s="13"/>
      <c r="AN161" s="6"/>
      <c r="AO161" s="7"/>
      <c r="AP161" s="8"/>
      <c r="AQ161" s="9"/>
      <c r="AS161" s="10"/>
      <c r="AT161" s="11"/>
      <c r="AU161" s="12"/>
      <c r="AV161" s="13"/>
      <c r="AX161" s="6"/>
      <c r="AY161" s="7"/>
      <c r="AZ161" s="8"/>
      <c r="BA161" s="9"/>
    </row>
    <row r="162" spans="1:57" x14ac:dyDescent="0.25">
      <c r="A162" s="40" t="s">
        <v>279</v>
      </c>
      <c r="B162" s="41">
        <v>2</v>
      </c>
      <c r="C162" s="40" t="s">
        <v>66</v>
      </c>
      <c r="D162" t="s">
        <v>52</v>
      </c>
      <c r="E162" s="10"/>
      <c r="F162" s="11"/>
      <c r="G162" s="12"/>
      <c r="H162" s="13"/>
      <c r="J162" s="6"/>
      <c r="K162" s="7"/>
      <c r="L162" s="8"/>
      <c r="M162" s="9">
        <v>1</v>
      </c>
      <c r="O162" s="10"/>
      <c r="P162" s="11">
        <v>2</v>
      </c>
      <c r="Q162" s="12"/>
      <c r="R162" s="13">
        <v>1</v>
      </c>
      <c r="T162" s="6"/>
      <c r="U162" s="7"/>
      <c r="V162" s="8"/>
      <c r="W162" s="9"/>
      <c r="Y162" s="10"/>
      <c r="Z162" s="11"/>
      <c r="AA162" s="12"/>
      <c r="AB162" s="13"/>
      <c r="AD162" s="6"/>
      <c r="AE162" s="7"/>
      <c r="AF162" s="8"/>
      <c r="AG162" s="9"/>
      <c r="AI162" s="10"/>
      <c r="AJ162" s="11"/>
      <c r="AK162" s="12"/>
      <c r="AL162" s="13"/>
      <c r="AN162" s="6"/>
      <c r="AO162" s="7"/>
      <c r="AP162" s="8"/>
      <c r="AQ162" s="9"/>
      <c r="AS162" s="10"/>
      <c r="AT162" s="11"/>
      <c r="AU162" s="12"/>
      <c r="AV162" s="13"/>
      <c r="AX162" s="6"/>
      <c r="AY162" s="7"/>
      <c r="AZ162" s="8"/>
      <c r="BA162" s="9"/>
      <c r="BC162" s="46">
        <f t="shared" ref="BC162" si="22">SUM(E162:BA162)</f>
        <v>4</v>
      </c>
      <c r="BD162" s="47">
        <f>(SUM(BE162,'Run distances (Term 2)'!BI162,'Run distances (Term 3)'!BI161,'Run distances (Term 4)'!BI162))</f>
        <v>2.0999999999999996</v>
      </c>
      <c r="BE162" s="47">
        <f t="shared" si="12"/>
        <v>1.2</v>
      </c>
    </row>
    <row r="163" spans="1:57" x14ac:dyDescent="0.25">
      <c r="A163" s="40" t="s">
        <v>384</v>
      </c>
      <c r="B163" s="41">
        <v>2</v>
      </c>
      <c r="C163" s="40" t="s">
        <v>66</v>
      </c>
      <c r="D163" t="s">
        <v>52</v>
      </c>
      <c r="E163" s="10"/>
      <c r="F163" s="11"/>
      <c r="G163" s="12"/>
      <c r="H163" s="13"/>
      <c r="J163" s="6"/>
      <c r="K163" s="7"/>
      <c r="L163" s="8"/>
      <c r="M163" s="9"/>
      <c r="O163" s="10"/>
      <c r="P163" s="11"/>
      <c r="Q163" s="12"/>
      <c r="R163" s="13">
        <v>1</v>
      </c>
      <c r="T163" s="6"/>
      <c r="U163" s="7">
        <v>1</v>
      </c>
      <c r="V163" s="8"/>
      <c r="W163" s="9"/>
      <c r="Y163" s="10"/>
      <c r="Z163" s="11">
        <v>1</v>
      </c>
      <c r="AA163" s="12"/>
      <c r="AB163" s="13"/>
      <c r="AD163" s="6"/>
      <c r="AE163" s="7"/>
      <c r="AF163" s="8"/>
      <c r="AG163" s="9"/>
      <c r="AI163" s="10"/>
      <c r="AJ163" s="11"/>
      <c r="AK163" s="12"/>
      <c r="AL163" s="13"/>
      <c r="AN163" s="6"/>
      <c r="AO163" s="7"/>
      <c r="AP163" s="8"/>
      <c r="AQ163" s="9"/>
      <c r="AS163" s="10"/>
      <c r="AT163" s="11"/>
      <c r="AU163" s="12"/>
      <c r="AV163" s="13"/>
      <c r="AX163" s="6"/>
      <c r="AY163" s="7"/>
      <c r="AZ163" s="8"/>
      <c r="BA163" s="9"/>
      <c r="BC163" s="46">
        <f t="shared" si="15"/>
        <v>3</v>
      </c>
      <c r="BD163" s="47">
        <f>(SUM(BE163,'Run distances (Term 2)'!BI163,'Run distances (Term 3)'!BI162,'Run distances (Term 4)'!BI163))</f>
        <v>1.8</v>
      </c>
      <c r="BE163" s="47">
        <f t="shared" si="12"/>
        <v>0.89999999999999991</v>
      </c>
    </row>
    <row r="164" spans="1:57" x14ac:dyDescent="0.25">
      <c r="A164" s="40" t="s">
        <v>281</v>
      </c>
      <c r="B164" s="41">
        <v>2</v>
      </c>
      <c r="C164" s="40" t="s">
        <v>66</v>
      </c>
      <c r="D164" t="s">
        <v>52</v>
      </c>
      <c r="E164" s="10">
        <v>2</v>
      </c>
      <c r="F164" s="11">
        <v>2</v>
      </c>
      <c r="G164" s="12">
        <v>2</v>
      </c>
      <c r="H164" s="13">
        <v>1</v>
      </c>
      <c r="J164" s="6"/>
      <c r="K164" s="7"/>
      <c r="L164" s="8">
        <v>2</v>
      </c>
      <c r="M164" s="9">
        <v>2</v>
      </c>
      <c r="O164" s="10"/>
      <c r="P164" s="11">
        <v>2</v>
      </c>
      <c r="Q164" s="12"/>
      <c r="R164" s="13"/>
      <c r="T164" s="6">
        <v>3</v>
      </c>
      <c r="U164" s="7"/>
      <c r="V164" s="8"/>
      <c r="W164" s="9">
        <v>4</v>
      </c>
      <c r="Y164" s="10"/>
      <c r="Z164" s="11"/>
      <c r="AA164" s="12"/>
      <c r="AB164" s="13"/>
      <c r="AD164" s="6"/>
      <c r="AE164" s="7"/>
      <c r="AF164" s="8"/>
      <c r="AG164" s="9"/>
      <c r="AI164" s="10"/>
      <c r="AJ164" s="11">
        <v>4</v>
      </c>
      <c r="AK164" s="12"/>
      <c r="AL164" s="13"/>
      <c r="AN164" s="6"/>
      <c r="AO164" s="7"/>
      <c r="AP164" s="8">
        <v>1</v>
      </c>
      <c r="AQ164" s="9"/>
      <c r="AS164" s="10"/>
      <c r="AT164" s="11"/>
      <c r="AU164" s="12"/>
      <c r="AV164" s="13"/>
      <c r="AX164" s="6"/>
      <c r="AY164" s="7"/>
      <c r="AZ164" s="8"/>
      <c r="BA164" s="9"/>
      <c r="BC164" s="46">
        <f t="shared" si="15"/>
        <v>25</v>
      </c>
      <c r="BD164" s="47">
        <f>(SUM(BE164,'Run distances (Term 2)'!BI164,'Run distances (Term 3)'!BI163,'Run distances (Term 4)'!BI164))</f>
        <v>22.2</v>
      </c>
      <c r="BE164" s="47">
        <f t="shared" si="12"/>
        <v>7.5</v>
      </c>
    </row>
    <row r="165" spans="1:57" x14ac:dyDescent="0.25">
      <c r="A165" s="40" t="s">
        <v>282</v>
      </c>
      <c r="B165" s="41">
        <v>2</v>
      </c>
      <c r="C165" s="40" t="s">
        <v>66</v>
      </c>
      <c r="D165" t="s">
        <v>52</v>
      </c>
      <c r="E165" s="10">
        <v>2</v>
      </c>
      <c r="F165" s="11">
        <v>2</v>
      </c>
      <c r="G165" s="12">
        <v>5</v>
      </c>
      <c r="H165" s="13">
        <v>1</v>
      </c>
      <c r="J165" s="6"/>
      <c r="K165" s="7"/>
      <c r="L165" s="8">
        <v>3</v>
      </c>
      <c r="M165" s="9">
        <v>2</v>
      </c>
      <c r="O165" s="10"/>
      <c r="P165" s="11">
        <v>2</v>
      </c>
      <c r="Q165" s="12"/>
      <c r="R165" s="13">
        <v>5</v>
      </c>
      <c r="T165" s="6">
        <v>3</v>
      </c>
      <c r="U165" s="7"/>
      <c r="V165" s="8"/>
      <c r="W165" s="9">
        <v>4</v>
      </c>
      <c r="Y165" s="10"/>
      <c r="Z165" s="11">
        <v>3</v>
      </c>
      <c r="AA165" s="12"/>
      <c r="AB165" s="13"/>
      <c r="AD165" s="6"/>
      <c r="AE165" s="7"/>
      <c r="AF165" s="8"/>
      <c r="AG165" s="9"/>
      <c r="AI165" s="10"/>
      <c r="AJ165" s="11">
        <v>3</v>
      </c>
      <c r="AK165" s="12"/>
      <c r="AL165" s="13"/>
      <c r="AN165" s="6"/>
      <c r="AO165" s="7"/>
      <c r="AP165" s="8"/>
      <c r="AQ165" s="9"/>
      <c r="AS165" s="10"/>
      <c r="AT165" s="11"/>
      <c r="AU165" s="12"/>
      <c r="AV165" s="13"/>
      <c r="AX165" s="6"/>
      <c r="AY165" s="7"/>
      <c r="AZ165" s="8"/>
      <c r="BA165" s="9"/>
      <c r="BC165" s="46">
        <f t="shared" si="15"/>
        <v>35</v>
      </c>
      <c r="BD165" s="47">
        <f>(SUM(BE165,'Run distances (Term 2)'!BI165,'Run distances (Term 3)'!BI164,'Run distances (Term 4)'!BI165))</f>
        <v>24.9</v>
      </c>
      <c r="BE165" s="47">
        <f t="shared" si="12"/>
        <v>10.5</v>
      </c>
    </row>
    <row r="166" spans="1:57" x14ac:dyDescent="0.25">
      <c r="A166" s="40" t="s">
        <v>215</v>
      </c>
      <c r="B166" s="41">
        <v>2</v>
      </c>
      <c r="C166" s="40" t="s">
        <v>66</v>
      </c>
      <c r="D166" t="s">
        <v>52</v>
      </c>
      <c r="E166" s="10">
        <v>2</v>
      </c>
      <c r="F166" s="11">
        <v>0</v>
      </c>
      <c r="G166" s="12">
        <v>1</v>
      </c>
      <c r="H166" s="13">
        <v>3</v>
      </c>
      <c r="J166" s="6">
        <v>0</v>
      </c>
      <c r="K166" s="7">
        <v>3</v>
      </c>
      <c r="L166" s="8">
        <v>3</v>
      </c>
      <c r="M166" s="9">
        <v>4</v>
      </c>
      <c r="O166" s="10"/>
      <c r="P166" s="11">
        <v>2</v>
      </c>
      <c r="Q166" s="12"/>
      <c r="R166" s="13">
        <v>6</v>
      </c>
      <c r="T166" s="6">
        <v>3</v>
      </c>
      <c r="U166" s="7">
        <v>3</v>
      </c>
      <c r="V166" s="8"/>
      <c r="W166" s="9">
        <v>4</v>
      </c>
      <c r="Y166" s="10"/>
      <c r="Z166" s="11"/>
      <c r="AA166" s="12"/>
      <c r="AB166" s="13"/>
      <c r="AD166" s="6"/>
      <c r="AE166" s="7"/>
      <c r="AF166" s="8"/>
      <c r="AG166" s="9"/>
      <c r="AI166" s="10"/>
      <c r="AJ166" s="11"/>
      <c r="AK166" s="12"/>
      <c r="AL166" s="13"/>
      <c r="AN166" s="6"/>
      <c r="AO166" s="7">
        <v>5</v>
      </c>
      <c r="AP166" s="8">
        <v>4</v>
      </c>
      <c r="AQ166" s="9"/>
      <c r="AS166" s="10"/>
      <c r="AT166" s="11"/>
      <c r="AU166" s="12"/>
      <c r="AV166" s="13"/>
      <c r="AX166" s="6"/>
      <c r="AY166" s="7"/>
      <c r="AZ166" s="8"/>
      <c r="BA166" s="9"/>
      <c r="BC166" s="46">
        <f t="shared" ref="BC166:BC199" si="23">SUM(E166:BA166)</f>
        <v>43</v>
      </c>
      <c r="BD166" s="47">
        <f>(SUM(BE166,'Run distances (Term 2)'!BI166,'Run distances (Term 3)'!BI165,'Run distances (Term 4)'!BI166))</f>
        <v>38.700000000000003</v>
      </c>
      <c r="BE166" s="47">
        <f t="shared" si="12"/>
        <v>12.9</v>
      </c>
    </row>
    <row r="167" spans="1:57" x14ac:dyDescent="0.25">
      <c r="A167" s="40" t="s">
        <v>327</v>
      </c>
      <c r="B167" s="41">
        <v>2</v>
      </c>
      <c r="C167" s="40" t="s">
        <v>66</v>
      </c>
      <c r="D167" t="s">
        <v>52</v>
      </c>
      <c r="E167" s="10">
        <v>1</v>
      </c>
      <c r="F167" s="11">
        <v>0</v>
      </c>
      <c r="G167" s="12">
        <v>2</v>
      </c>
      <c r="H167" s="13">
        <v>0</v>
      </c>
      <c r="J167" s="6"/>
      <c r="K167" s="7"/>
      <c r="L167" s="8"/>
      <c r="M167" s="9"/>
      <c r="O167" s="10"/>
      <c r="P167" s="11"/>
      <c r="Q167" s="12"/>
      <c r="R167" s="13"/>
      <c r="T167" s="6"/>
      <c r="U167" s="7"/>
      <c r="V167" s="8"/>
      <c r="W167" s="9"/>
      <c r="Y167" s="10"/>
      <c r="Z167" s="11"/>
      <c r="AA167" s="12"/>
      <c r="AB167" s="13"/>
      <c r="AD167" s="6"/>
      <c r="AE167" s="7"/>
      <c r="AF167" s="8"/>
      <c r="AG167" s="9"/>
      <c r="AI167" s="10"/>
      <c r="AJ167" s="11"/>
      <c r="AK167" s="12"/>
      <c r="AL167" s="13"/>
      <c r="AN167" s="6"/>
      <c r="AO167" s="7"/>
      <c r="AP167" s="8"/>
      <c r="AQ167" s="9"/>
      <c r="AS167" s="10"/>
      <c r="AT167" s="11"/>
      <c r="AU167" s="12"/>
      <c r="AV167" s="13"/>
      <c r="AX167" s="6"/>
      <c r="AY167" s="7"/>
      <c r="AZ167" s="8"/>
      <c r="BA167" s="9"/>
      <c r="BC167" s="46">
        <f t="shared" si="23"/>
        <v>3</v>
      </c>
      <c r="BD167" s="47">
        <f>(SUM(BE167,'Run distances (Term 2)'!BI167,'Run distances (Term 3)'!BI166,'Run distances (Term 4)'!BI167))</f>
        <v>0.89999999999999991</v>
      </c>
      <c r="BE167" s="47">
        <f t="shared" si="12"/>
        <v>0.89999999999999991</v>
      </c>
    </row>
    <row r="168" spans="1:57" x14ac:dyDescent="0.25">
      <c r="A168" s="40" t="s">
        <v>326</v>
      </c>
      <c r="B168" s="41">
        <v>10</v>
      </c>
      <c r="C168" s="40" t="s">
        <v>66</v>
      </c>
      <c r="D168" t="s">
        <v>59</v>
      </c>
      <c r="E168" s="10"/>
      <c r="F168" s="11"/>
      <c r="G168" s="12"/>
      <c r="H168" s="13"/>
      <c r="J168" s="6">
        <v>0</v>
      </c>
      <c r="K168" s="7">
        <v>1</v>
      </c>
      <c r="L168" s="8"/>
      <c r="M168" s="9"/>
      <c r="O168" s="10"/>
      <c r="P168" s="11"/>
      <c r="Q168" s="12"/>
      <c r="R168" s="13"/>
      <c r="T168" s="6"/>
      <c r="U168" s="7"/>
      <c r="V168" s="8"/>
      <c r="W168" s="9"/>
      <c r="Y168" s="10"/>
      <c r="Z168" s="11"/>
      <c r="AA168" s="12"/>
      <c r="AB168" s="13"/>
      <c r="AD168" s="6"/>
      <c r="AE168" s="7"/>
      <c r="AF168" s="8"/>
      <c r="AG168" s="9">
        <v>2</v>
      </c>
      <c r="AI168" s="10"/>
      <c r="AJ168" s="11"/>
      <c r="AK168" s="12"/>
      <c r="AL168" s="13"/>
      <c r="AN168" s="6"/>
      <c r="AO168" s="7"/>
      <c r="AP168" s="8"/>
      <c r="AQ168" s="9"/>
      <c r="AS168" s="10"/>
      <c r="AT168" s="11"/>
      <c r="AU168" s="12"/>
      <c r="AV168" s="13"/>
      <c r="AX168" s="6"/>
      <c r="AY168" s="7"/>
      <c r="AZ168" s="8"/>
      <c r="BA168" s="9"/>
      <c r="BC168" s="46">
        <f t="shared" ref="BC168" si="24">SUM(E168:BA168)</f>
        <v>3</v>
      </c>
      <c r="BD168" s="47">
        <f>(SUM(BE168,'Run distances (Term 2)'!BI168,'Run distances (Term 3)'!BI167,'Run distances (Term 4)'!BI168))</f>
        <v>1.2</v>
      </c>
      <c r="BE168" s="47">
        <f t="shared" si="12"/>
        <v>0.89999999999999991</v>
      </c>
    </row>
    <row r="169" spans="1:57" x14ac:dyDescent="0.25">
      <c r="A169" s="40" t="s">
        <v>385</v>
      </c>
      <c r="B169" s="41">
        <v>10</v>
      </c>
      <c r="C169" s="40" t="s">
        <v>66</v>
      </c>
      <c r="D169" t="s">
        <v>59</v>
      </c>
      <c r="E169" s="10"/>
      <c r="F169" s="11"/>
      <c r="G169" s="12"/>
      <c r="H169" s="13"/>
      <c r="J169" s="6">
        <v>0</v>
      </c>
      <c r="K169" s="7">
        <v>0</v>
      </c>
      <c r="L169" s="8"/>
      <c r="M169" s="9"/>
      <c r="O169" s="10"/>
      <c r="P169" s="11"/>
      <c r="Q169" s="12">
        <v>3</v>
      </c>
      <c r="R169" s="13">
        <v>11</v>
      </c>
      <c r="T169" s="6">
        <v>8</v>
      </c>
      <c r="U169" s="7">
        <v>5</v>
      </c>
      <c r="V169" s="8">
        <v>5</v>
      </c>
      <c r="W169" s="9"/>
      <c r="Y169" s="10"/>
      <c r="Z169" s="11"/>
      <c r="AA169" s="12"/>
      <c r="AB169" s="13"/>
      <c r="AD169" s="6"/>
      <c r="AE169" s="7"/>
      <c r="AF169" s="8"/>
      <c r="AG169" s="9"/>
      <c r="AI169" s="10"/>
      <c r="AJ169" s="11"/>
      <c r="AK169" s="12"/>
      <c r="AL169" s="13"/>
      <c r="AN169" s="6"/>
      <c r="AO169" s="7"/>
      <c r="AP169" s="8"/>
      <c r="AQ169" s="9"/>
      <c r="AS169" s="10"/>
      <c r="AT169" s="11"/>
      <c r="AU169" s="12"/>
      <c r="AV169" s="13"/>
      <c r="AX169" s="6"/>
      <c r="AY169" s="7"/>
      <c r="AZ169" s="8"/>
      <c r="BA169" s="9">
        <v>2</v>
      </c>
      <c r="BC169" s="46">
        <f t="shared" si="23"/>
        <v>34</v>
      </c>
      <c r="BD169" s="47">
        <f>(SUM(BE169,'Run distances (Term 2)'!BI169,'Run distances (Term 3)'!BI168,'Run distances (Term 4)'!BI169))</f>
        <v>23.7</v>
      </c>
      <c r="BE169" s="47">
        <f t="shared" si="12"/>
        <v>10.199999999999999</v>
      </c>
    </row>
    <row r="170" spans="1:57" x14ac:dyDescent="0.25">
      <c r="A170" s="40" t="s">
        <v>325</v>
      </c>
      <c r="B170" s="41">
        <v>3</v>
      </c>
      <c r="C170" s="40" t="s">
        <v>66</v>
      </c>
      <c r="D170" t="s">
        <v>56</v>
      </c>
      <c r="E170" s="10">
        <v>2</v>
      </c>
      <c r="F170" s="11">
        <v>5</v>
      </c>
      <c r="G170" s="12">
        <v>3</v>
      </c>
      <c r="H170" s="13">
        <v>2</v>
      </c>
      <c r="J170" s="6">
        <v>0</v>
      </c>
      <c r="K170" s="7">
        <v>2</v>
      </c>
      <c r="L170" s="8">
        <v>6</v>
      </c>
      <c r="M170" s="9"/>
      <c r="O170" s="10"/>
      <c r="P170" s="11">
        <v>3</v>
      </c>
      <c r="Q170" s="12">
        <v>2</v>
      </c>
      <c r="R170" s="13"/>
      <c r="T170" s="6"/>
      <c r="U170" s="7"/>
      <c r="V170" s="8"/>
      <c r="W170" s="9"/>
      <c r="Y170" s="10"/>
      <c r="Z170" s="11"/>
      <c r="AA170" s="12"/>
      <c r="AB170" s="13"/>
      <c r="AD170" s="6"/>
      <c r="AE170" s="7"/>
      <c r="AF170" s="8"/>
      <c r="AG170" s="9">
        <v>6</v>
      </c>
      <c r="AI170" s="10">
        <v>6</v>
      </c>
      <c r="AJ170" s="11"/>
      <c r="AK170" s="12"/>
      <c r="AL170" s="13"/>
      <c r="AN170" s="6"/>
      <c r="AO170" s="7">
        <v>3</v>
      </c>
      <c r="AP170" s="8">
        <v>4</v>
      </c>
      <c r="AQ170" s="9"/>
      <c r="AS170" s="10"/>
      <c r="AT170" s="11"/>
      <c r="AU170" s="12"/>
      <c r="AV170" s="13"/>
      <c r="AX170" s="6"/>
      <c r="AY170" s="7"/>
      <c r="AZ170" s="8"/>
      <c r="BA170" s="9"/>
      <c r="BC170" s="46">
        <f t="shared" si="23"/>
        <v>44</v>
      </c>
      <c r="BD170" s="47">
        <f>(SUM(BE170,'Run distances (Term 2)'!BI170,'Run distances (Term 3)'!BI169,'Run distances (Term 4)'!BI170))</f>
        <v>36.899999999999991</v>
      </c>
      <c r="BE170" s="47">
        <f t="shared" si="12"/>
        <v>13.2</v>
      </c>
    </row>
    <row r="171" spans="1:57" x14ac:dyDescent="0.25">
      <c r="A171" s="40" t="s">
        <v>386</v>
      </c>
      <c r="B171" s="41">
        <v>3</v>
      </c>
      <c r="C171" s="40" t="s">
        <v>66</v>
      </c>
      <c r="D171" t="s">
        <v>56</v>
      </c>
      <c r="E171" s="10">
        <v>0</v>
      </c>
      <c r="F171" s="11">
        <v>0</v>
      </c>
      <c r="G171" s="12">
        <v>0</v>
      </c>
      <c r="H171" s="13">
        <v>4</v>
      </c>
      <c r="J171" s="6"/>
      <c r="K171" s="7"/>
      <c r="L171" s="8"/>
      <c r="M171" s="9"/>
      <c r="O171" s="10"/>
      <c r="P171" s="11"/>
      <c r="Q171" s="12"/>
      <c r="R171" s="13"/>
      <c r="T171" s="6"/>
      <c r="U171" s="7"/>
      <c r="V171" s="8"/>
      <c r="W171" s="9"/>
      <c r="Y171" s="10"/>
      <c r="Z171" s="11"/>
      <c r="AA171" s="12"/>
      <c r="AB171" s="13"/>
      <c r="AD171" s="6"/>
      <c r="AE171" s="7"/>
      <c r="AF171" s="8"/>
      <c r="AG171" s="9"/>
      <c r="AI171" s="10"/>
      <c r="AJ171" s="11"/>
      <c r="AK171" s="12"/>
      <c r="AL171" s="13"/>
      <c r="AN171" s="6"/>
      <c r="AO171" s="7"/>
      <c r="AP171" s="8"/>
      <c r="AQ171" s="9"/>
      <c r="AS171" s="10"/>
      <c r="AT171" s="11"/>
      <c r="AU171" s="12"/>
      <c r="AV171" s="13"/>
      <c r="AX171" s="6"/>
      <c r="AY171" s="7"/>
      <c r="AZ171" s="8"/>
      <c r="BA171" s="9"/>
      <c r="BC171" s="46">
        <f t="shared" si="23"/>
        <v>4</v>
      </c>
      <c r="BD171" s="47">
        <f>(SUM(BE171,'Run distances (Term 2)'!BI171,'Run distances (Term 3)'!BI170,'Run distances (Term 4)'!BI171))</f>
        <v>5.0999999999999996</v>
      </c>
      <c r="BE171" s="47">
        <f t="shared" si="12"/>
        <v>1.2</v>
      </c>
    </row>
    <row r="172" spans="1:57" x14ac:dyDescent="0.25">
      <c r="A172" s="40" t="s">
        <v>323</v>
      </c>
      <c r="B172" s="41">
        <v>3</v>
      </c>
      <c r="C172" s="40" t="s">
        <v>66</v>
      </c>
      <c r="D172" t="s">
        <v>56</v>
      </c>
      <c r="E172" s="10">
        <v>0</v>
      </c>
      <c r="F172" s="11">
        <v>0</v>
      </c>
      <c r="G172" s="12">
        <v>2</v>
      </c>
      <c r="H172" s="13">
        <v>2</v>
      </c>
      <c r="J172" s="6"/>
      <c r="K172" s="7"/>
      <c r="L172" s="8"/>
      <c r="M172" s="9"/>
      <c r="O172" s="10"/>
      <c r="P172" s="11"/>
      <c r="Q172" s="12"/>
      <c r="R172" s="13"/>
      <c r="T172" s="6"/>
      <c r="U172" s="7"/>
      <c r="V172" s="8"/>
      <c r="W172" s="9"/>
      <c r="Y172" s="10"/>
      <c r="Z172" s="11"/>
      <c r="AA172" s="12"/>
      <c r="AB172" s="13"/>
      <c r="AD172" s="6"/>
      <c r="AE172" s="7"/>
      <c r="AF172" s="8"/>
      <c r="AG172" s="9"/>
      <c r="AI172" s="10"/>
      <c r="AJ172" s="11">
        <v>3</v>
      </c>
      <c r="AK172" s="12">
        <v>1</v>
      </c>
      <c r="AL172" s="13">
        <v>1</v>
      </c>
      <c r="AN172" s="6"/>
      <c r="AO172" s="7"/>
      <c r="AP172" s="8"/>
      <c r="AQ172" s="9"/>
      <c r="AS172" s="10"/>
      <c r="AT172" s="11"/>
      <c r="AU172" s="12"/>
      <c r="AV172" s="13"/>
      <c r="AX172" s="6"/>
      <c r="AY172" s="7"/>
      <c r="AZ172" s="8"/>
      <c r="BA172" s="9"/>
      <c r="BC172" s="46">
        <f t="shared" si="23"/>
        <v>9</v>
      </c>
      <c r="BD172" s="47">
        <f>(SUM(BE172,'Run distances (Term 2)'!BI172,'Run distances (Term 3)'!BI171,'Run distances (Term 4)'!BI172))</f>
        <v>10.799999999999999</v>
      </c>
      <c r="BE172" s="47">
        <f t="shared" si="12"/>
        <v>2.6999999999999997</v>
      </c>
    </row>
    <row r="173" spans="1:57" x14ac:dyDescent="0.25">
      <c r="A173" s="40" t="s">
        <v>322</v>
      </c>
      <c r="B173" s="41">
        <v>3</v>
      </c>
      <c r="C173" s="40" t="s">
        <v>66</v>
      </c>
      <c r="D173" t="s">
        <v>56</v>
      </c>
      <c r="E173" s="10">
        <v>3</v>
      </c>
      <c r="F173" s="11">
        <v>3</v>
      </c>
      <c r="G173" s="12">
        <v>4</v>
      </c>
      <c r="H173" s="13">
        <v>5</v>
      </c>
      <c r="J173" s="6"/>
      <c r="K173" s="7"/>
      <c r="L173" s="8"/>
      <c r="M173" s="9">
        <v>2</v>
      </c>
      <c r="O173" s="10">
        <v>3</v>
      </c>
      <c r="P173" s="11">
        <v>2</v>
      </c>
      <c r="Q173" s="12"/>
      <c r="R173" s="13"/>
      <c r="T173" s="6"/>
      <c r="U173" s="7"/>
      <c r="V173" s="8"/>
      <c r="W173" s="9"/>
      <c r="Y173" s="10"/>
      <c r="Z173" s="11"/>
      <c r="AA173" s="12"/>
      <c r="AB173" s="13"/>
      <c r="AD173" s="6"/>
      <c r="AE173" s="7"/>
      <c r="AF173" s="8"/>
      <c r="AG173" s="9"/>
      <c r="AI173" s="10"/>
      <c r="AJ173" s="11"/>
      <c r="AK173" s="12"/>
      <c r="AL173" s="13"/>
      <c r="AN173" s="6"/>
      <c r="AO173" s="7"/>
      <c r="AP173" s="8"/>
      <c r="AQ173" s="9"/>
      <c r="AS173" s="10"/>
      <c r="AT173" s="11">
        <v>1</v>
      </c>
      <c r="AU173" s="12"/>
      <c r="AV173" s="13"/>
      <c r="AX173" s="6"/>
      <c r="AY173" s="7"/>
      <c r="AZ173" s="8"/>
      <c r="BA173" s="9"/>
      <c r="BC173" s="46">
        <f t="shared" si="23"/>
        <v>23</v>
      </c>
      <c r="BD173" s="47">
        <f>(SUM(BE173,'Run distances (Term 2)'!BI173,'Run distances (Term 3)'!BI172,'Run distances (Term 4)'!BI173))</f>
        <v>12.899999999999999</v>
      </c>
      <c r="BE173" s="47">
        <f t="shared" si="12"/>
        <v>6.8999999999999995</v>
      </c>
    </row>
    <row r="174" spans="1:57" x14ac:dyDescent="0.25">
      <c r="A174" s="40" t="s">
        <v>321</v>
      </c>
      <c r="B174" s="41">
        <v>3</v>
      </c>
      <c r="C174" s="40" t="s">
        <v>66</v>
      </c>
      <c r="D174" t="s">
        <v>56</v>
      </c>
      <c r="E174" s="10">
        <v>3</v>
      </c>
      <c r="F174" s="11">
        <v>0</v>
      </c>
      <c r="G174" s="12">
        <v>0</v>
      </c>
      <c r="H174" s="13">
        <v>0</v>
      </c>
      <c r="J174" s="6"/>
      <c r="K174" s="7"/>
      <c r="L174" s="8"/>
      <c r="M174" s="9">
        <v>2</v>
      </c>
      <c r="O174" s="10">
        <v>3</v>
      </c>
      <c r="P174" s="11">
        <v>5</v>
      </c>
      <c r="Q174" s="12"/>
      <c r="R174" s="13"/>
      <c r="T174" s="6"/>
      <c r="U174" s="7"/>
      <c r="V174" s="8"/>
      <c r="W174" s="9"/>
      <c r="Y174" s="10"/>
      <c r="Z174" s="11"/>
      <c r="AA174" s="12"/>
      <c r="AB174" s="13"/>
      <c r="AD174" s="6"/>
      <c r="AE174" s="7"/>
      <c r="AF174" s="8"/>
      <c r="AG174" s="9"/>
      <c r="AI174" s="10">
        <v>4</v>
      </c>
      <c r="AJ174" s="11">
        <v>3</v>
      </c>
      <c r="AK174" s="12">
        <v>1</v>
      </c>
      <c r="AL174" s="13">
        <v>1</v>
      </c>
      <c r="AN174" s="6"/>
      <c r="AO174" s="7">
        <v>5</v>
      </c>
      <c r="AP174" s="8">
        <v>2</v>
      </c>
      <c r="AQ174" s="9"/>
      <c r="AS174" s="10"/>
      <c r="AT174" s="11">
        <v>1</v>
      </c>
      <c r="AU174" s="12"/>
      <c r="AV174" s="13"/>
      <c r="AX174" s="6"/>
      <c r="AY174" s="7"/>
      <c r="AZ174" s="8"/>
      <c r="BA174" s="9"/>
      <c r="BC174" s="46">
        <f t="shared" ref="BC174:BC181" si="25">SUM(E174:BA174)</f>
        <v>30</v>
      </c>
      <c r="BD174" s="47">
        <f>(SUM(BE174,'Run distances (Term 2)'!BI174,'Run distances (Term 3)'!BI173,'Run distances (Term 4)'!BI174))</f>
        <v>30.6</v>
      </c>
      <c r="BE174" s="47">
        <f t="shared" ref="BE174:BE241" si="26">(SUM(E174:BB174)*$D$2)</f>
        <v>9</v>
      </c>
    </row>
    <row r="175" spans="1:57" x14ac:dyDescent="0.25">
      <c r="A175" s="40" t="s">
        <v>387</v>
      </c>
      <c r="B175" s="41">
        <v>3</v>
      </c>
      <c r="C175" s="40" t="s">
        <v>66</v>
      </c>
      <c r="D175" t="s">
        <v>56</v>
      </c>
      <c r="E175" s="10"/>
      <c r="F175" s="11">
        <v>0</v>
      </c>
      <c r="G175" s="12">
        <v>0</v>
      </c>
      <c r="H175" s="13">
        <v>0</v>
      </c>
      <c r="J175" s="6"/>
      <c r="K175" s="7"/>
      <c r="L175" s="8"/>
      <c r="M175" s="9"/>
      <c r="O175" s="10"/>
      <c r="P175" s="11">
        <v>4</v>
      </c>
      <c r="Q175" s="12"/>
      <c r="R175" s="13"/>
      <c r="T175" s="6"/>
      <c r="U175" s="7"/>
      <c r="V175" s="8"/>
      <c r="W175" s="9"/>
      <c r="Y175" s="10"/>
      <c r="Z175" s="11"/>
      <c r="AA175" s="12"/>
      <c r="AB175" s="13"/>
      <c r="AD175" s="6"/>
      <c r="AE175" s="7"/>
      <c r="AF175" s="8"/>
      <c r="AG175" s="9"/>
      <c r="AI175" s="10"/>
      <c r="AJ175" s="11"/>
      <c r="AK175" s="12"/>
      <c r="AL175" s="13"/>
      <c r="AN175" s="6"/>
      <c r="AO175" s="7"/>
      <c r="AP175" s="8"/>
      <c r="AQ175" s="9"/>
      <c r="AS175" s="10"/>
      <c r="AT175" s="11"/>
      <c r="AU175" s="12"/>
      <c r="AV175" s="13"/>
      <c r="AX175" s="6"/>
      <c r="AY175" s="7"/>
      <c r="AZ175" s="8"/>
      <c r="BA175" s="9"/>
      <c r="BC175" s="46">
        <f t="shared" si="25"/>
        <v>4</v>
      </c>
      <c r="BD175" s="47">
        <f>(SUM(BE175,'Run distances (Term 2)'!BI175,'Run distances (Term 3)'!BI174,'Run distances (Term 4)'!BI175))</f>
        <v>5.7</v>
      </c>
      <c r="BE175" s="47">
        <f t="shared" ref="BE175:BE182" si="27">(SUM(E175:BB175)*$D$2)</f>
        <v>1.2</v>
      </c>
    </row>
    <row r="176" spans="1:57" x14ac:dyDescent="0.25">
      <c r="A176" s="40" t="s">
        <v>422</v>
      </c>
      <c r="B176" s="41">
        <v>3</v>
      </c>
      <c r="C176" s="40" t="s">
        <v>66</v>
      </c>
      <c r="D176" t="s">
        <v>56</v>
      </c>
      <c r="E176" s="10"/>
      <c r="F176" s="11"/>
      <c r="G176" s="12"/>
      <c r="H176" s="13"/>
      <c r="J176" s="6"/>
      <c r="K176" s="7"/>
      <c r="L176" s="8"/>
      <c r="M176" s="9"/>
      <c r="O176" s="10"/>
      <c r="P176" s="11"/>
      <c r="Q176" s="12"/>
      <c r="R176" s="13"/>
      <c r="T176" s="6"/>
      <c r="U176" s="7"/>
      <c r="V176" s="8"/>
      <c r="W176" s="9"/>
      <c r="Y176" s="10"/>
      <c r="Z176" s="11"/>
      <c r="AA176" s="12"/>
      <c r="AB176" s="13"/>
      <c r="AD176" s="6"/>
      <c r="AE176" s="7"/>
      <c r="AF176" s="8"/>
      <c r="AG176" s="9"/>
      <c r="AI176" s="10"/>
      <c r="AJ176" s="11"/>
      <c r="AK176" s="12"/>
      <c r="AL176" s="13"/>
      <c r="AN176" s="6"/>
      <c r="AO176" s="7"/>
      <c r="AP176" s="8"/>
      <c r="AQ176" s="9"/>
      <c r="AS176" s="10"/>
      <c r="AT176" s="11"/>
      <c r="AU176" s="12"/>
      <c r="AV176" s="13"/>
      <c r="AX176" s="6"/>
      <c r="AY176" s="7"/>
      <c r="AZ176" s="8"/>
      <c r="BA176" s="9"/>
      <c r="BC176" s="46">
        <f t="shared" si="25"/>
        <v>0</v>
      </c>
      <c r="BD176" s="47">
        <f>(SUM(BE176,'Run distances (Term 2)'!BI176,'Run distances (Term 3)'!BI175,'Run distances (Term 4)'!BI176))</f>
        <v>14.7</v>
      </c>
      <c r="BE176" s="47">
        <f t="shared" si="27"/>
        <v>0</v>
      </c>
    </row>
    <row r="177" spans="1:57" x14ac:dyDescent="0.25">
      <c r="A177" s="40" t="s">
        <v>319</v>
      </c>
      <c r="B177" s="41">
        <v>4</v>
      </c>
      <c r="C177" s="40" t="s">
        <v>66</v>
      </c>
      <c r="D177" t="s">
        <v>58</v>
      </c>
      <c r="E177" s="10">
        <v>0</v>
      </c>
      <c r="F177" s="11">
        <v>0</v>
      </c>
      <c r="G177" s="12">
        <v>1</v>
      </c>
      <c r="H177" s="13">
        <v>2</v>
      </c>
      <c r="J177" s="6">
        <v>0</v>
      </c>
      <c r="K177" s="7">
        <v>1</v>
      </c>
      <c r="L177" s="8"/>
      <c r="M177" s="9"/>
      <c r="O177" s="10"/>
      <c r="P177" s="11"/>
      <c r="Q177" s="12"/>
      <c r="R177" s="13"/>
      <c r="T177" s="6">
        <v>3</v>
      </c>
      <c r="U177" s="7">
        <v>3</v>
      </c>
      <c r="V177" s="8">
        <v>2</v>
      </c>
      <c r="W177" s="9">
        <v>2</v>
      </c>
      <c r="Y177" s="10"/>
      <c r="Z177" s="11"/>
      <c r="AA177" s="12"/>
      <c r="AB177" s="13"/>
      <c r="AD177" s="6"/>
      <c r="AE177" s="7"/>
      <c r="AF177" s="8"/>
      <c r="AG177" s="9"/>
      <c r="AI177" s="10"/>
      <c r="AJ177" s="11"/>
      <c r="AK177" s="12"/>
      <c r="AL177" s="13"/>
      <c r="AN177" s="6"/>
      <c r="AO177" s="7"/>
      <c r="AP177" s="8"/>
      <c r="AQ177" s="9">
        <v>4</v>
      </c>
      <c r="AS177" s="10"/>
      <c r="AT177" s="11"/>
      <c r="AU177" s="12"/>
      <c r="AV177" s="13"/>
      <c r="AX177" s="6"/>
      <c r="AY177" s="7"/>
      <c r="AZ177" s="8"/>
      <c r="BA177" s="9"/>
      <c r="BC177" s="46">
        <f t="shared" si="25"/>
        <v>18</v>
      </c>
      <c r="BD177" s="47">
        <f>(SUM(BE177,'Run distances (Term 2)'!BI177,'Run distances (Term 3)'!BI176,'Run distances (Term 4)'!BI177))</f>
        <v>25.799999999999997</v>
      </c>
      <c r="BE177" s="47">
        <f t="shared" si="27"/>
        <v>5.3999999999999995</v>
      </c>
    </row>
    <row r="178" spans="1:57" x14ac:dyDescent="0.25">
      <c r="A178" s="40" t="s">
        <v>318</v>
      </c>
      <c r="B178" s="41">
        <v>4</v>
      </c>
      <c r="C178" s="40" t="s">
        <v>66</v>
      </c>
      <c r="D178" t="s">
        <v>58</v>
      </c>
      <c r="E178" s="10">
        <v>0</v>
      </c>
      <c r="F178" s="11">
        <v>0</v>
      </c>
      <c r="G178" s="12">
        <v>1</v>
      </c>
      <c r="H178" s="13">
        <v>2</v>
      </c>
      <c r="J178" s="6">
        <v>0</v>
      </c>
      <c r="K178" s="7">
        <v>1</v>
      </c>
      <c r="L178" s="8"/>
      <c r="M178" s="9"/>
      <c r="O178" s="10"/>
      <c r="P178" s="11"/>
      <c r="Q178" s="12"/>
      <c r="R178" s="13">
        <v>2</v>
      </c>
      <c r="T178" s="6">
        <v>3</v>
      </c>
      <c r="U178" s="7">
        <v>3</v>
      </c>
      <c r="V178" s="8"/>
      <c r="W178" s="9"/>
      <c r="Y178" s="10"/>
      <c r="Z178" s="11"/>
      <c r="AA178" s="12"/>
      <c r="AB178" s="13"/>
      <c r="AD178" s="6"/>
      <c r="AE178" s="7"/>
      <c r="AF178" s="8"/>
      <c r="AG178" s="9"/>
      <c r="AI178" s="10"/>
      <c r="AJ178" s="11"/>
      <c r="AK178" s="12"/>
      <c r="AL178" s="13"/>
      <c r="AN178" s="6"/>
      <c r="AO178" s="7"/>
      <c r="AP178" s="8"/>
      <c r="AQ178" s="9">
        <v>2</v>
      </c>
      <c r="AS178" s="10"/>
      <c r="AT178" s="11"/>
      <c r="AU178" s="12"/>
      <c r="AV178" s="13"/>
      <c r="AX178" s="6"/>
      <c r="AY178" s="7"/>
      <c r="AZ178" s="8"/>
      <c r="BA178" s="9"/>
      <c r="BC178" s="46">
        <f t="shared" si="25"/>
        <v>14</v>
      </c>
      <c r="BD178" s="47">
        <f>(SUM(BE178,'Run distances (Term 2)'!BI178,'Run distances (Term 3)'!BI177,'Run distances (Term 4)'!BI178))</f>
        <v>19.2</v>
      </c>
      <c r="BE178" s="47">
        <f t="shared" si="27"/>
        <v>4.2</v>
      </c>
    </row>
    <row r="179" spans="1:57" x14ac:dyDescent="0.25">
      <c r="A179" s="40" t="s">
        <v>317</v>
      </c>
      <c r="B179" s="41">
        <v>5</v>
      </c>
      <c r="C179" s="40" t="s">
        <v>66</v>
      </c>
      <c r="D179" t="s">
        <v>58</v>
      </c>
      <c r="E179" s="10">
        <v>0</v>
      </c>
      <c r="F179" s="11">
        <v>0</v>
      </c>
      <c r="G179" s="12">
        <v>0</v>
      </c>
      <c r="H179" s="13">
        <v>4</v>
      </c>
      <c r="J179" s="6">
        <v>4</v>
      </c>
      <c r="K179" s="7">
        <v>0</v>
      </c>
      <c r="L179" s="8"/>
      <c r="M179" s="9"/>
      <c r="O179" s="10">
        <v>2</v>
      </c>
      <c r="P179" s="11"/>
      <c r="Q179" s="12"/>
      <c r="R179" s="13"/>
      <c r="T179" s="6"/>
      <c r="U179" s="7"/>
      <c r="V179" s="8"/>
      <c r="W179" s="9">
        <v>2</v>
      </c>
      <c r="Y179" s="10"/>
      <c r="Z179" s="11"/>
      <c r="AA179" s="12"/>
      <c r="AB179" s="13"/>
      <c r="AD179" s="6"/>
      <c r="AE179" s="7"/>
      <c r="AF179" s="8"/>
      <c r="AG179" s="9"/>
      <c r="AI179" s="10"/>
      <c r="AJ179" s="11"/>
      <c r="AK179" s="12"/>
      <c r="AL179" s="13"/>
      <c r="AN179" s="6"/>
      <c r="AO179" s="7"/>
      <c r="AP179" s="8"/>
      <c r="AQ179" s="9">
        <v>2</v>
      </c>
      <c r="AS179" s="10"/>
      <c r="AT179" s="11">
        <v>2</v>
      </c>
      <c r="AU179" s="12"/>
      <c r="AV179" s="13"/>
      <c r="AX179" s="6"/>
      <c r="AY179" s="7"/>
      <c r="AZ179" s="8"/>
      <c r="BA179" s="9">
        <v>1</v>
      </c>
      <c r="BC179" s="46">
        <f t="shared" si="25"/>
        <v>17</v>
      </c>
      <c r="BD179" s="47">
        <f>(SUM(BE179,'Run distances (Term 2)'!BI179,'Run distances (Term 3)'!BI178,'Run distances (Term 4)'!BI179))</f>
        <v>5.6999999999999993</v>
      </c>
      <c r="BE179" s="47">
        <f t="shared" si="27"/>
        <v>5.0999999999999996</v>
      </c>
    </row>
    <row r="180" spans="1:57" x14ac:dyDescent="0.25">
      <c r="A180" s="40" t="s">
        <v>316</v>
      </c>
      <c r="B180" s="41">
        <v>5</v>
      </c>
      <c r="C180" s="40" t="s">
        <v>66</v>
      </c>
      <c r="D180" t="s">
        <v>58</v>
      </c>
      <c r="E180" s="10">
        <v>0</v>
      </c>
      <c r="F180" s="11">
        <v>0</v>
      </c>
      <c r="G180" s="12">
        <v>1</v>
      </c>
      <c r="H180" s="13">
        <v>4</v>
      </c>
      <c r="J180" s="6"/>
      <c r="K180" s="7"/>
      <c r="L180" s="8"/>
      <c r="M180" s="9"/>
      <c r="O180" s="10"/>
      <c r="P180" s="11"/>
      <c r="Q180" s="12"/>
      <c r="R180" s="13"/>
      <c r="T180" s="6">
        <v>3</v>
      </c>
      <c r="U180" s="7">
        <v>3</v>
      </c>
      <c r="V180" s="8"/>
      <c r="W180" s="9"/>
      <c r="Y180" s="10"/>
      <c r="Z180" s="11"/>
      <c r="AA180" s="12"/>
      <c r="AB180" s="13"/>
      <c r="AD180" s="6"/>
      <c r="AE180" s="7"/>
      <c r="AF180" s="8"/>
      <c r="AG180" s="9"/>
      <c r="AI180" s="10"/>
      <c r="AJ180" s="11">
        <v>5</v>
      </c>
      <c r="AK180" s="12"/>
      <c r="AL180" s="13"/>
      <c r="AN180" s="6"/>
      <c r="AO180" s="7"/>
      <c r="AP180" s="8">
        <v>1</v>
      </c>
      <c r="AQ180" s="9"/>
      <c r="AS180" s="10"/>
      <c r="AT180" s="11"/>
      <c r="AU180" s="12"/>
      <c r="AV180" s="13"/>
      <c r="AX180" s="6"/>
      <c r="AY180" s="7"/>
      <c r="AZ180" s="8"/>
      <c r="BA180" s="9"/>
      <c r="BC180" s="46">
        <f t="shared" si="25"/>
        <v>17</v>
      </c>
      <c r="BD180" s="47">
        <f>(SUM(BE180,'Run distances (Term 2)'!BI180,'Run distances (Term 3)'!BI179,'Run distances (Term 4)'!BI180))</f>
        <v>17.7</v>
      </c>
      <c r="BE180" s="47">
        <f t="shared" si="27"/>
        <v>5.0999999999999996</v>
      </c>
    </row>
    <row r="181" spans="1:57" x14ac:dyDescent="0.25">
      <c r="A181" s="40" t="s">
        <v>424</v>
      </c>
      <c r="B181" s="41">
        <v>5</v>
      </c>
      <c r="C181" s="40" t="s">
        <v>66</v>
      </c>
      <c r="E181" s="10"/>
      <c r="F181" s="11"/>
      <c r="G181" s="12"/>
      <c r="H181" s="13"/>
      <c r="J181" s="6"/>
      <c r="K181" s="7"/>
      <c r="L181" s="8"/>
      <c r="M181" s="9"/>
      <c r="O181" s="10"/>
      <c r="P181" s="11"/>
      <c r="Q181" s="12"/>
      <c r="R181" s="13"/>
      <c r="T181" s="6"/>
      <c r="U181" s="7"/>
      <c r="V181" s="8"/>
      <c r="W181" s="9"/>
      <c r="Y181" s="10"/>
      <c r="Z181" s="11"/>
      <c r="AA181" s="12"/>
      <c r="AB181" s="13"/>
      <c r="AD181" s="6"/>
      <c r="AE181" s="7"/>
      <c r="AF181" s="8"/>
      <c r="AG181" s="9"/>
      <c r="AI181" s="10"/>
      <c r="AJ181" s="11"/>
      <c r="AK181" s="12"/>
      <c r="AL181" s="13"/>
      <c r="AN181" s="6"/>
      <c r="AO181" s="7"/>
      <c r="AP181" s="8"/>
      <c r="AQ181" s="9"/>
      <c r="AS181" s="10"/>
      <c r="AT181" s="11"/>
      <c r="AU181" s="12"/>
      <c r="AV181" s="13"/>
      <c r="AX181" s="6"/>
      <c r="AY181" s="7"/>
      <c r="AZ181" s="8"/>
      <c r="BA181" s="9"/>
      <c r="BC181" s="46">
        <f t="shared" si="25"/>
        <v>0</v>
      </c>
      <c r="BD181" s="47">
        <f>(SUM(BE181,'Run distances (Term 2)'!BI181,'Run distances (Term 3)'!BI180,'Run distances (Term 4)'!BI181))</f>
        <v>4.8</v>
      </c>
      <c r="BE181" s="47">
        <f t="shared" si="27"/>
        <v>0</v>
      </c>
    </row>
    <row r="182" spans="1:57" x14ac:dyDescent="0.25">
      <c r="A182" s="40" t="s">
        <v>315</v>
      </c>
      <c r="B182" s="41">
        <v>4</v>
      </c>
      <c r="C182" s="40" t="s">
        <v>66</v>
      </c>
      <c r="D182" t="s">
        <v>55</v>
      </c>
      <c r="E182" s="10">
        <v>0</v>
      </c>
      <c r="F182" s="11">
        <v>3</v>
      </c>
      <c r="G182" s="12">
        <v>0</v>
      </c>
      <c r="H182" s="13">
        <v>0</v>
      </c>
      <c r="J182" s="6"/>
      <c r="K182" s="7"/>
      <c r="L182" s="8"/>
      <c r="M182" s="9"/>
      <c r="O182" s="10"/>
      <c r="P182" s="11"/>
      <c r="Q182" s="12"/>
      <c r="R182" s="13"/>
      <c r="T182" s="6"/>
      <c r="U182" s="7"/>
      <c r="V182" s="8"/>
      <c r="W182" s="9"/>
      <c r="Y182" s="10"/>
      <c r="Z182" s="11"/>
      <c r="AA182" s="12"/>
      <c r="AB182" s="13"/>
      <c r="AD182" s="6"/>
      <c r="AE182" s="7"/>
      <c r="AF182" s="8"/>
      <c r="AG182" s="9"/>
      <c r="AI182" s="10"/>
      <c r="AJ182" s="11"/>
      <c r="AK182" s="12"/>
      <c r="AL182" s="13"/>
      <c r="AN182" s="6"/>
      <c r="AO182" s="7"/>
      <c r="AP182" s="8"/>
      <c r="AQ182" s="9"/>
      <c r="AS182" s="10"/>
      <c r="AT182" s="11"/>
      <c r="AU182" s="12"/>
      <c r="AV182" s="13"/>
      <c r="AX182" s="6"/>
      <c r="AY182" s="7"/>
      <c r="AZ182" s="8"/>
      <c r="BA182" s="9"/>
      <c r="BC182" s="46">
        <f t="shared" si="23"/>
        <v>3</v>
      </c>
      <c r="BD182" s="47">
        <f>(SUM(BE182,'Run distances (Term 2)'!BI182,'Run distances (Term 3)'!BI181,'Run distances (Term 4)'!BI182))</f>
        <v>9.3000000000000007</v>
      </c>
      <c r="BE182" s="47">
        <f t="shared" si="27"/>
        <v>0.89999999999999991</v>
      </c>
    </row>
    <row r="183" spans="1:57" x14ac:dyDescent="0.25">
      <c r="A183" s="40" t="s">
        <v>314</v>
      </c>
      <c r="B183" s="41">
        <v>4</v>
      </c>
      <c r="C183" s="40" t="s">
        <v>66</v>
      </c>
      <c r="D183" t="s">
        <v>55</v>
      </c>
      <c r="E183" s="10">
        <v>5</v>
      </c>
      <c r="F183" s="11">
        <v>5</v>
      </c>
      <c r="G183" s="12">
        <v>1</v>
      </c>
      <c r="H183" s="13">
        <v>4</v>
      </c>
      <c r="J183" s="6">
        <v>0</v>
      </c>
      <c r="K183" s="7">
        <v>4</v>
      </c>
      <c r="L183" s="8"/>
      <c r="M183" s="9">
        <v>5</v>
      </c>
      <c r="O183" s="10"/>
      <c r="P183" s="11"/>
      <c r="Q183" s="12"/>
      <c r="R183" s="13"/>
      <c r="T183" s="6"/>
      <c r="U183" s="7"/>
      <c r="V183" s="8"/>
      <c r="W183" s="9"/>
      <c r="Y183" s="10"/>
      <c r="Z183" s="11"/>
      <c r="AA183" s="12"/>
      <c r="AB183" s="13"/>
      <c r="AD183" s="6"/>
      <c r="AE183" s="7"/>
      <c r="AF183" s="8">
        <v>6</v>
      </c>
      <c r="AG183" s="9"/>
      <c r="AI183" s="10"/>
      <c r="AJ183" s="11"/>
      <c r="AK183" s="12"/>
      <c r="AL183" s="13"/>
      <c r="AN183" s="6"/>
      <c r="AO183" s="7"/>
      <c r="AP183" s="8"/>
      <c r="AQ183" s="9"/>
      <c r="AS183" s="10"/>
      <c r="AT183" s="11"/>
      <c r="AU183" s="12"/>
      <c r="AV183" s="13"/>
      <c r="AX183" s="6"/>
      <c r="AY183" s="7"/>
      <c r="AZ183" s="8"/>
      <c r="BA183" s="9"/>
      <c r="BC183" s="46">
        <f t="shared" si="23"/>
        <v>30</v>
      </c>
      <c r="BD183" s="47">
        <f>(SUM(BE183,'Run distances (Term 2)'!BI183,'Run distances (Term 3)'!BI182,'Run distances (Term 4)'!BI183))</f>
        <v>18.899999999999999</v>
      </c>
      <c r="BE183" s="47">
        <f t="shared" si="26"/>
        <v>9</v>
      </c>
    </row>
    <row r="184" spans="1:57" x14ac:dyDescent="0.25">
      <c r="A184" s="40" t="s">
        <v>313</v>
      </c>
      <c r="B184" s="41">
        <v>4</v>
      </c>
      <c r="C184" s="40" t="s">
        <v>66</v>
      </c>
      <c r="D184" t="s">
        <v>55</v>
      </c>
      <c r="E184" s="10">
        <v>0</v>
      </c>
      <c r="F184" s="11">
        <v>2</v>
      </c>
      <c r="G184" s="12">
        <v>1</v>
      </c>
      <c r="H184" s="13">
        <v>0</v>
      </c>
      <c r="J184" s="6">
        <v>2</v>
      </c>
      <c r="K184" s="7">
        <v>0</v>
      </c>
      <c r="L184" s="8"/>
      <c r="M184" s="9"/>
      <c r="O184" s="10"/>
      <c r="P184" s="11"/>
      <c r="Q184" s="12"/>
      <c r="R184" s="13"/>
      <c r="T184" s="6"/>
      <c r="U184" s="7"/>
      <c r="V184" s="8"/>
      <c r="W184" s="9"/>
      <c r="Y184" s="10"/>
      <c r="Z184" s="11"/>
      <c r="AA184" s="12"/>
      <c r="AB184" s="13"/>
      <c r="AD184" s="6"/>
      <c r="AE184" s="7"/>
      <c r="AF184" s="8"/>
      <c r="AG184" s="9"/>
      <c r="AI184" s="10"/>
      <c r="AJ184" s="11"/>
      <c r="AK184" s="12"/>
      <c r="AL184" s="13"/>
      <c r="AN184" s="6"/>
      <c r="AO184" s="7"/>
      <c r="AP184" s="8"/>
      <c r="AQ184" s="9"/>
      <c r="AS184" s="10"/>
      <c r="AT184" s="11"/>
      <c r="AU184" s="12"/>
      <c r="AV184" s="13"/>
      <c r="AX184" s="6"/>
      <c r="AY184" s="7"/>
      <c r="AZ184" s="8"/>
      <c r="BA184" s="9"/>
      <c r="BC184" s="46">
        <f t="shared" si="23"/>
        <v>5</v>
      </c>
      <c r="BD184" s="47">
        <f>(SUM(BE184,'Run distances (Term 2)'!BI184,'Run distances (Term 3)'!BI183,'Run distances (Term 4)'!BI184))</f>
        <v>22.8</v>
      </c>
      <c r="BE184" s="47">
        <f t="shared" si="26"/>
        <v>1.5</v>
      </c>
    </row>
    <row r="185" spans="1:57" x14ac:dyDescent="0.25">
      <c r="A185" s="40" t="s">
        <v>388</v>
      </c>
      <c r="B185" s="41">
        <v>4</v>
      </c>
      <c r="C185" s="40" t="s">
        <v>66</v>
      </c>
      <c r="D185" t="s">
        <v>55</v>
      </c>
      <c r="E185" s="10">
        <v>0</v>
      </c>
      <c r="F185" s="11">
        <v>0</v>
      </c>
      <c r="G185" s="12">
        <v>0</v>
      </c>
      <c r="H185" s="13">
        <v>2</v>
      </c>
      <c r="J185" s="6"/>
      <c r="K185" s="7"/>
      <c r="L185" s="8"/>
      <c r="M185" s="9"/>
      <c r="O185" s="10"/>
      <c r="P185" s="11"/>
      <c r="Q185" s="12"/>
      <c r="R185" s="13"/>
      <c r="T185" s="6">
        <v>1</v>
      </c>
      <c r="U185" s="7"/>
      <c r="V185" s="8"/>
      <c r="W185" s="9"/>
      <c r="Y185" s="10"/>
      <c r="Z185" s="11"/>
      <c r="AA185" s="12"/>
      <c r="AB185" s="13"/>
      <c r="AD185" s="6"/>
      <c r="AE185" s="7"/>
      <c r="AF185" s="8"/>
      <c r="AG185" s="9"/>
      <c r="AI185" s="10"/>
      <c r="AJ185" s="11"/>
      <c r="AK185" s="12"/>
      <c r="AL185" s="13"/>
      <c r="AN185" s="6"/>
      <c r="AO185" s="7"/>
      <c r="AP185" s="8"/>
      <c r="AQ185" s="9"/>
      <c r="AS185" s="10"/>
      <c r="AT185" s="11"/>
      <c r="AU185" s="12"/>
      <c r="AV185" s="13"/>
      <c r="AX185" s="6"/>
      <c r="AY185" s="7"/>
      <c r="AZ185" s="8"/>
      <c r="BA185" s="9"/>
      <c r="BC185" s="46">
        <f t="shared" si="23"/>
        <v>3</v>
      </c>
      <c r="BD185" s="47">
        <f>(SUM(BE185,'Run distances (Term 2)'!BI185,'Run distances (Term 3)'!BI184,'Run distances (Term 4)'!BI185))</f>
        <v>12.9</v>
      </c>
      <c r="BE185" s="47">
        <f t="shared" si="26"/>
        <v>0.89999999999999991</v>
      </c>
    </row>
    <row r="186" spans="1:57" x14ac:dyDescent="0.25">
      <c r="A186" s="40" t="s">
        <v>311</v>
      </c>
      <c r="B186" s="41">
        <v>4</v>
      </c>
      <c r="C186" s="40" t="s">
        <v>66</v>
      </c>
      <c r="D186" t="s">
        <v>55</v>
      </c>
      <c r="E186" s="10">
        <v>0</v>
      </c>
      <c r="F186" s="11">
        <v>4</v>
      </c>
      <c r="G186" s="12">
        <v>0</v>
      </c>
      <c r="H186" s="13">
        <v>0</v>
      </c>
      <c r="J186" s="6"/>
      <c r="K186" s="7"/>
      <c r="L186" s="8"/>
      <c r="M186" s="9"/>
      <c r="O186" s="10"/>
      <c r="P186" s="11"/>
      <c r="Q186" s="12"/>
      <c r="R186" s="13"/>
      <c r="T186" s="6"/>
      <c r="U186" s="7">
        <v>2</v>
      </c>
      <c r="V186" s="8"/>
      <c r="W186" s="9"/>
      <c r="Y186" s="10"/>
      <c r="Z186" s="11"/>
      <c r="AA186" s="12"/>
      <c r="AB186" s="13"/>
      <c r="AD186" s="6"/>
      <c r="AE186" s="7"/>
      <c r="AF186" s="8"/>
      <c r="AG186" s="9"/>
      <c r="AI186" s="10"/>
      <c r="AJ186" s="11"/>
      <c r="AK186" s="12"/>
      <c r="AL186" s="13"/>
      <c r="AN186" s="6"/>
      <c r="AO186" s="7"/>
      <c r="AP186" s="8"/>
      <c r="AQ186" s="9"/>
      <c r="AS186" s="10"/>
      <c r="AT186" s="11"/>
      <c r="AU186" s="12"/>
      <c r="AV186" s="13"/>
      <c r="AX186" s="6"/>
      <c r="AY186" s="7"/>
      <c r="AZ186" s="8"/>
      <c r="BA186" s="9"/>
      <c r="BC186" s="46">
        <f t="shared" si="23"/>
        <v>6</v>
      </c>
      <c r="BD186" s="47">
        <f>(SUM(BE186,'Run distances (Term 2)'!BI186,'Run distances (Term 3)'!BI185,'Run distances (Term 4)'!BI186))</f>
        <v>13.2</v>
      </c>
      <c r="BE186" s="47">
        <f t="shared" si="26"/>
        <v>1.7999999999999998</v>
      </c>
    </row>
    <row r="187" spans="1:57" x14ac:dyDescent="0.25">
      <c r="A187" s="40" t="s">
        <v>310</v>
      </c>
      <c r="B187" s="41">
        <v>4</v>
      </c>
      <c r="C187" s="40" t="s">
        <v>66</v>
      </c>
      <c r="D187" t="s">
        <v>55</v>
      </c>
      <c r="E187" s="10">
        <v>2</v>
      </c>
      <c r="F187" s="11">
        <v>5</v>
      </c>
      <c r="G187" s="12">
        <v>6</v>
      </c>
      <c r="H187" s="13">
        <v>7</v>
      </c>
      <c r="J187" s="6">
        <v>4</v>
      </c>
      <c r="K187" s="7">
        <v>4</v>
      </c>
      <c r="L187" s="8">
        <v>0</v>
      </c>
      <c r="M187" s="9">
        <v>4</v>
      </c>
      <c r="O187" s="10">
        <v>4</v>
      </c>
      <c r="P187" s="11"/>
      <c r="Q187" s="12">
        <v>2</v>
      </c>
      <c r="R187" s="13"/>
      <c r="T187" s="6"/>
      <c r="U187" s="7"/>
      <c r="V187" s="8"/>
      <c r="W187" s="9">
        <v>2</v>
      </c>
      <c r="Y187" s="10"/>
      <c r="Z187" s="11"/>
      <c r="AA187" s="12"/>
      <c r="AB187" s="13"/>
      <c r="AD187" s="6"/>
      <c r="AE187" s="7"/>
      <c r="AF187" s="8">
        <v>2</v>
      </c>
      <c r="AG187" s="9"/>
      <c r="AI187" s="10"/>
      <c r="AJ187" s="11">
        <v>1</v>
      </c>
      <c r="AK187" s="12"/>
      <c r="AL187" s="13"/>
      <c r="AN187" s="6"/>
      <c r="AO187" s="7"/>
      <c r="AP187" s="8">
        <v>4</v>
      </c>
      <c r="AQ187" s="9">
        <v>2</v>
      </c>
      <c r="AS187" s="10"/>
      <c r="AT187" s="11"/>
      <c r="AU187" s="12"/>
      <c r="AV187" s="13"/>
      <c r="AX187" s="6"/>
      <c r="AY187" s="7"/>
      <c r="AZ187" s="8"/>
      <c r="BA187" s="9"/>
      <c r="BC187" s="46">
        <f t="shared" si="23"/>
        <v>49</v>
      </c>
      <c r="BD187" s="47">
        <f>(SUM(BE187,'Run distances (Term 2)'!BI187,'Run distances (Term 3)'!BI186,'Run distances (Term 4)'!BI187))</f>
        <v>24.9</v>
      </c>
      <c r="BE187" s="47">
        <f t="shared" si="26"/>
        <v>14.7</v>
      </c>
    </row>
    <row r="188" spans="1:57" x14ac:dyDescent="0.25">
      <c r="A188" s="40" t="s">
        <v>309</v>
      </c>
      <c r="B188" s="41">
        <v>4</v>
      </c>
      <c r="C188" s="40" t="s">
        <v>66</v>
      </c>
      <c r="D188" t="s">
        <v>55</v>
      </c>
      <c r="E188" s="10">
        <v>0</v>
      </c>
      <c r="F188" s="11">
        <v>0</v>
      </c>
      <c r="G188" s="12">
        <v>0</v>
      </c>
      <c r="H188" s="13">
        <v>2</v>
      </c>
      <c r="J188" s="6"/>
      <c r="K188" s="7"/>
      <c r="L188" s="8"/>
      <c r="M188" s="9"/>
      <c r="O188" s="10"/>
      <c r="P188" s="11">
        <v>1</v>
      </c>
      <c r="Q188" s="12"/>
      <c r="R188" s="13"/>
      <c r="T188" s="6"/>
      <c r="U188" s="7">
        <v>1</v>
      </c>
      <c r="V188" s="8"/>
      <c r="W188" s="9"/>
      <c r="Y188" s="10"/>
      <c r="Z188" s="11"/>
      <c r="AA188" s="12"/>
      <c r="AB188" s="13"/>
      <c r="AD188" s="6"/>
      <c r="AE188" s="7"/>
      <c r="AF188" s="8"/>
      <c r="AG188" s="9"/>
      <c r="AI188" s="10"/>
      <c r="AJ188" s="11"/>
      <c r="AK188" s="12"/>
      <c r="AL188" s="13"/>
      <c r="AN188" s="6"/>
      <c r="AO188" s="7"/>
      <c r="AP188" s="8"/>
      <c r="AQ188" s="9"/>
      <c r="AS188" s="10"/>
      <c r="AT188" s="11"/>
      <c r="AU188" s="12"/>
      <c r="AV188" s="13"/>
      <c r="AX188" s="6"/>
      <c r="AY188" s="7"/>
      <c r="AZ188" s="8"/>
      <c r="BA188" s="9"/>
      <c r="BC188" s="46">
        <f t="shared" ref="BC188" si="28">SUM(E188:BA188)</f>
        <v>4</v>
      </c>
      <c r="BD188" s="47">
        <f>(SUM(BE188,'Run distances (Term 2)'!BI188,'Run distances (Term 3)'!BI187,'Run distances (Term 4)'!BI188))</f>
        <v>3.5999999999999996</v>
      </c>
      <c r="BE188" s="47">
        <f t="shared" si="26"/>
        <v>1.2</v>
      </c>
    </row>
    <row r="189" spans="1:57" x14ac:dyDescent="0.25">
      <c r="A189" s="40" t="s">
        <v>389</v>
      </c>
      <c r="B189" s="41">
        <v>4</v>
      </c>
      <c r="C189" s="40" t="s">
        <v>66</v>
      </c>
      <c r="D189" t="s">
        <v>55</v>
      </c>
      <c r="E189" s="10">
        <v>0</v>
      </c>
      <c r="F189" s="11">
        <v>0</v>
      </c>
      <c r="G189" s="12">
        <v>0</v>
      </c>
      <c r="H189" s="13">
        <v>2</v>
      </c>
      <c r="J189" s="6"/>
      <c r="K189" s="7"/>
      <c r="L189" s="8"/>
      <c r="M189" s="9"/>
      <c r="O189" s="10"/>
      <c r="P189" s="11">
        <v>2</v>
      </c>
      <c r="Q189" s="12">
        <v>5</v>
      </c>
      <c r="R189" s="13">
        <v>2</v>
      </c>
      <c r="T189" s="6"/>
      <c r="U189" s="7"/>
      <c r="V189" s="8"/>
      <c r="W189" s="9"/>
      <c r="Y189" s="10"/>
      <c r="Z189" s="11"/>
      <c r="AA189" s="12"/>
      <c r="AB189" s="13"/>
      <c r="AD189" s="6"/>
      <c r="AE189" s="7"/>
      <c r="AF189" s="8"/>
      <c r="AG189" s="9"/>
      <c r="AI189" s="10"/>
      <c r="AJ189" s="11"/>
      <c r="AK189" s="12"/>
      <c r="AL189" s="13"/>
      <c r="AN189" s="6"/>
      <c r="AO189" s="7">
        <v>2</v>
      </c>
      <c r="AP189" s="8"/>
      <c r="AQ189" s="9"/>
      <c r="AS189" s="10"/>
      <c r="AT189" s="11"/>
      <c r="AU189" s="12"/>
      <c r="AV189" s="13"/>
      <c r="AX189" s="6">
        <v>3</v>
      </c>
      <c r="AY189" s="7"/>
      <c r="AZ189" s="8">
        <v>3</v>
      </c>
      <c r="BA189" s="9"/>
      <c r="BC189" s="46">
        <f t="shared" si="23"/>
        <v>19</v>
      </c>
      <c r="BD189" s="47">
        <f>(SUM(BE189,'Run distances (Term 2)'!BI189,'Run distances (Term 3)'!BI188,'Run distances (Term 4)'!BI189))</f>
        <v>7.8000000000000007</v>
      </c>
      <c r="BE189" s="47">
        <f t="shared" si="26"/>
        <v>5.7</v>
      </c>
    </row>
    <row r="190" spans="1:57" x14ac:dyDescent="0.25">
      <c r="A190" s="40" t="s">
        <v>307</v>
      </c>
      <c r="B190" s="41">
        <v>6</v>
      </c>
      <c r="C190" s="40" t="s">
        <v>66</v>
      </c>
      <c r="D190" t="s">
        <v>50</v>
      </c>
      <c r="E190" s="10">
        <v>0</v>
      </c>
      <c r="F190" s="11">
        <v>0</v>
      </c>
      <c r="G190" s="12">
        <v>0</v>
      </c>
      <c r="H190" s="13">
        <v>2</v>
      </c>
      <c r="J190" s="6">
        <v>1</v>
      </c>
      <c r="K190" s="7">
        <v>3</v>
      </c>
      <c r="L190" s="8"/>
      <c r="M190" s="9"/>
      <c r="O190" s="10"/>
      <c r="P190" s="11"/>
      <c r="Q190" s="12">
        <v>2</v>
      </c>
      <c r="R190" s="13"/>
      <c r="T190" s="6"/>
      <c r="U190" s="7"/>
      <c r="V190" s="8"/>
      <c r="W190" s="9"/>
      <c r="Y190" s="10"/>
      <c r="Z190" s="11"/>
      <c r="AA190" s="12"/>
      <c r="AB190" s="13"/>
      <c r="AD190" s="6"/>
      <c r="AE190" s="7"/>
      <c r="AF190" s="8"/>
      <c r="AG190" s="9"/>
      <c r="AI190" s="10"/>
      <c r="AJ190" s="11"/>
      <c r="AK190" s="12"/>
      <c r="AL190" s="13"/>
      <c r="AN190" s="6"/>
      <c r="AO190" s="7"/>
      <c r="AP190" s="8"/>
      <c r="AQ190" s="9"/>
      <c r="AS190" s="10"/>
      <c r="AT190" s="11"/>
      <c r="AU190" s="12"/>
      <c r="AV190" s="13"/>
      <c r="AX190" s="6"/>
      <c r="AY190" s="7"/>
      <c r="AZ190" s="8"/>
      <c r="BA190" s="9"/>
      <c r="BC190" s="46">
        <f t="shared" si="23"/>
        <v>8</v>
      </c>
      <c r="BD190" s="47">
        <f>(SUM(BE190,'Run distances (Term 2)'!BI190,'Run distances (Term 3)'!BI189,'Run distances (Term 4)'!BI190))</f>
        <v>8.6999999999999993</v>
      </c>
      <c r="BE190" s="47">
        <f t="shared" si="26"/>
        <v>2.4</v>
      </c>
    </row>
    <row r="191" spans="1:57" x14ac:dyDescent="0.25">
      <c r="A191" s="40" t="s">
        <v>306</v>
      </c>
      <c r="B191" s="41">
        <v>6</v>
      </c>
      <c r="C191" s="40" t="s">
        <v>66</v>
      </c>
      <c r="D191" t="s">
        <v>50</v>
      </c>
      <c r="E191" s="10"/>
      <c r="F191" s="11"/>
      <c r="G191" s="12"/>
      <c r="H191" s="13"/>
      <c r="J191" s="6"/>
      <c r="K191" s="7"/>
      <c r="L191" s="8">
        <v>2</v>
      </c>
      <c r="M191" s="9">
        <v>6</v>
      </c>
      <c r="O191" s="10">
        <v>5</v>
      </c>
      <c r="P191" s="11">
        <v>3</v>
      </c>
      <c r="Q191" s="12">
        <v>5</v>
      </c>
      <c r="R191" s="13"/>
      <c r="T191" s="6">
        <v>3</v>
      </c>
      <c r="U191" s="7"/>
      <c r="V191" s="8">
        <v>5</v>
      </c>
      <c r="W191" s="9"/>
      <c r="Y191" s="10"/>
      <c r="Z191" s="11"/>
      <c r="AA191" s="12"/>
      <c r="AB191" s="13"/>
      <c r="AD191" s="6"/>
      <c r="AE191" s="7"/>
      <c r="AF191" s="8"/>
      <c r="AG191" s="9"/>
      <c r="AI191" s="10"/>
      <c r="AJ191" s="11">
        <v>2</v>
      </c>
      <c r="AK191" s="12"/>
      <c r="AL191" s="13"/>
      <c r="AN191" s="6"/>
      <c r="AO191" s="7"/>
      <c r="AP191" s="8"/>
      <c r="AQ191" s="9"/>
      <c r="AS191" s="10"/>
      <c r="AT191" s="11"/>
      <c r="AU191" s="12"/>
      <c r="AV191" s="13"/>
      <c r="AX191" s="6"/>
      <c r="AY191" s="7"/>
      <c r="AZ191" s="8"/>
      <c r="BA191" s="9"/>
      <c r="BC191" s="46">
        <f t="shared" si="23"/>
        <v>31</v>
      </c>
      <c r="BD191" s="47">
        <f>(SUM(BE191,'Run distances (Term 2)'!BI191,'Run distances (Term 3)'!BI190,'Run distances (Term 4)'!BI191))</f>
        <v>24.9</v>
      </c>
      <c r="BE191" s="47">
        <f t="shared" si="26"/>
        <v>9.2999999999999989</v>
      </c>
    </row>
    <row r="192" spans="1:57" x14ac:dyDescent="0.25">
      <c r="A192" s="40" t="s">
        <v>305</v>
      </c>
      <c r="B192" s="41">
        <v>6</v>
      </c>
      <c r="C192" s="40" t="s">
        <v>66</v>
      </c>
      <c r="D192" t="s">
        <v>51</v>
      </c>
      <c r="E192" s="10">
        <v>0</v>
      </c>
      <c r="F192" s="11">
        <v>0</v>
      </c>
      <c r="G192" s="12">
        <v>0</v>
      </c>
      <c r="H192" s="13">
        <v>2</v>
      </c>
      <c r="J192" s="6"/>
      <c r="K192" s="7"/>
      <c r="L192" s="8"/>
      <c r="M192" s="9"/>
      <c r="O192" s="10"/>
      <c r="P192" s="11"/>
      <c r="Q192" s="12"/>
      <c r="R192" s="13"/>
      <c r="T192" s="6"/>
      <c r="U192" s="7"/>
      <c r="V192" s="8"/>
      <c r="W192" s="9">
        <v>2</v>
      </c>
      <c r="Y192" s="10"/>
      <c r="Z192" s="11"/>
      <c r="AA192" s="12"/>
      <c r="AB192" s="13"/>
      <c r="AD192" s="6"/>
      <c r="AE192" s="7"/>
      <c r="AF192" s="8"/>
      <c r="AG192" s="9"/>
      <c r="AI192" s="10"/>
      <c r="AJ192" s="11"/>
      <c r="AK192" s="12"/>
      <c r="AL192" s="13"/>
      <c r="AN192" s="6"/>
      <c r="AO192" s="7"/>
      <c r="AP192" s="8"/>
      <c r="AQ192" s="9"/>
      <c r="AS192" s="10"/>
      <c r="AT192" s="11"/>
      <c r="AU192" s="12"/>
      <c r="AV192" s="13"/>
      <c r="AX192" s="6"/>
      <c r="AY192" s="7"/>
      <c r="AZ192" s="8"/>
      <c r="BA192" s="9"/>
      <c r="BC192" s="46">
        <f t="shared" si="23"/>
        <v>4</v>
      </c>
      <c r="BD192" s="47">
        <f>(SUM(BE192,'Run distances (Term 2)'!BI192,'Run distances (Term 3)'!BI191,'Run distances (Term 4)'!BI192))</f>
        <v>8.3999999999999986</v>
      </c>
      <c r="BE192" s="47">
        <f t="shared" si="26"/>
        <v>1.2</v>
      </c>
    </row>
    <row r="193" spans="1:57" x14ac:dyDescent="0.25">
      <c r="A193" s="40" t="s">
        <v>304</v>
      </c>
      <c r="B193" s="41">
        <v>6</v>
      </c>
      <c r="C193" s="40" t="s">
        <v>66</v>
      </c>
      <c r="D193" t="s">
        <v>51</v>
      </c>
      <c r="E193" s="10">
        <v>0</v>
      </c>
      <c r="F193" s="11">
        <v>0</v>
      </c>
      <c r="G193" s="12">
        <v>0</v>
      </c>
      <c r="H193" s="13">
        <v>2</v>
      </c>
      <c r="J193" s="6"/>
      <c r="K193" s="7"/>
      <c r="L193" s="8"/>
      <c r="M193" s="9"/>
      <c r="O193" s="10"/>
      <c r="P193" s="11"/>
      <c r="Q193" s="12"/>
      <c r="R193" s="13"/>
      <c r="T193" s="6"/>
      <c r="U193" s="7"/>
      <c r="V193" s="8"/>
      <c r="W193" s="9"/>
      <c r="Y193" s="10"/>
      <c r="Z193" s="11"/>
      <c r="AA193" s="12"/>
      <c r="AB193" s="13"/>
      <c r="AD193" s="6"/>
      <c r="AE193" s="7"/>
      <c r="AF193" s="8"/>
      <c r="AG193" s="9"/>
      <c r="AI193" s="10"/>
      <c r="AJ193" s="11"/>
      <c r="AK193" s="12"/>
      <c r="AL193" s="13"/>
      <c r="AN193" s="6"/>
      <c r="AO193" s="7"/>
      <c r="AP193" s="8"/>
      <c r="AQ193" s="9"/>
      <c r="AS193" s="10"/>
      <c r="AT193" s="11"/>
      <c r="AU193" s="12"/>
      <c r="AV193" s="13"/>
      <c r="AX193" s="6"/>
      <c r="AY193" s="7"/>
      <c r="AZ193" s="8"/>
      <c r="BA193" s="9"/>
      <c r="BC193" s="46">
        <f t="shared" si="23"/>
        <v>2</v>
      </c>
      <c r="BD193" s="47">
        <f>(SUM(BE193,'Run distances (Term 2)'!BI193,'Run distances (Term 3)'!BI192,'Run distances (Term 4)'!BI193))</f>
        <v>9</v>
      </c>
      <c r="BE193" s="47">
        <f t="shared" si="26"/>
        <v>0.6</v>
      </c>
    </row>
    <row r="194" spans="1:57" x14ac:dyDescent="0.25">
      <c r="A194" s="40" t="s">
        <v>303</v>
      </c>
      <c r="B194" s="41">
        <v>6</v>
      </c>
      <c r="C194" s="40" t="s">
        <v>66</v>
      </c>
      <c r="D194" t="s">
        <v>51</v>
      </c>
      <c r="E194" s="10">
        <v>0</v>
      </c>
      <c r="F194" s="11">
        <v>0</v>
      </c>
      <c r="G194" s="12">
        <v>0</v>
      </c>
      <c r="H194" s="13">
        <v>7</v>
      </c>
      <c r="J194" s="6">
        <v>0</v>
      </c>
      <c r="K194" s="7">
        <v>6</v>
      </c>
      <c r="L194" s="8">
        <v>6</v>
      </c>
      <c r="M194" s="9">
        <v>6</v>
      </c>
      <c r="O194" s="10"/>
      <c r="P194" s="11">
        <v>8</v>
      </c>
      <c r="Q194" s="12">
        <v>5</v>
      </c>
      <c r="R194" s="13"/>
      <c r="T194" s="6">
        <v>6</v>
      </c>
      <c r="U194" s="7">
        <v>3</v>
      </c>
      <c r="V194" s="8">
        <v>5</v>
      </c>
      <c r="W194" s="9">
        <v>3</v>
      </c>
      <c r="Y194" s="10"/>
      <c r="Z194" s="11"/>
      <c r="AA194" s="12"/>
      <c r="AB194" s="13"/>
      <c r="AD194" s="6"/>
      <c r="AE194" s="7"/>
      <c r="AF194" s="8"/>
      <c r="AG194" s="9">
        <v>5</v>
      </c>
      <c r="AI194" s="10">
        <v>5</v>
      </c>
      <c r="AJ194" s="11"/>
      <c r="AK194" s="12"/>
      <c r="AL194" s="13"/>
      <c r="AN194" s="6"/>
      <c r="AO194" s="7"/>
      <c r="AP194" s="8"/>
      <c r="AQ194" s="9"/>
      <c r="AS194" s="10"/>
      <c r="AT194" s="11"/>
      <c r="AU194" s="12"/>
      <c r="AV194" s="13"/>
      <c r="AX194" s="6"/>
      <c r="AY194" s="7"/>
      <c r="AZ194" s="8"/>
      <c r="BA194" s="9">
        <v>3</v>
      </c>
      <c r="BC194" s="46">
        <f t="shared" si="23"/>
        <v>68</v>
      </c>
      <c r="BD194" s="47">
        <f>(SUM(BE194,'Run distances (Term 2)'!BI194,'Run distances (Term 3)'!BI193,'Run distances (Term 4)'!BI194))</f>
        <v>30.9</v>
      </c>
      <c r="BE194" s="47">
        <f t="shared" si="26"/>
        <v>20.399999999999999</v>
      </c>
    </row>
    <row r="195" spans="1:57" x14ac:dyDescent="0.25">
      <c r="A195" s="40" t="s">
        <v>302</v>
      </c>
      <c r="B195" s="41">
        <v>8</v>
      </c>
      <c r="C195" s="40" t="s">
        <v>66</v>
      </c>
      <c r="D195" t="s">
        <v>57</v>
      </c>
      <c r="E195" s="10"/>
      <c r="F195" s="11"/>
      <c r="G195" s="12">
        <v>1</v>
      </c>
      <c r="H195" s="13"/>
      <c r="J195" s="6"/>
      <c r="K195" s="7"/>
      <c r="L195" s="8">
        <v>1</v>
      </c>
      <c r="M195" s="9">
        <v>1</v>
      </c>
      <c r="O195" s="10">
        <v>4</v>
      </c>
      <c r="P195" s="11">
        <v>4</v>
      </c>
      <c r="Q195" s="12">
        <v>7</v>
      </c>
      <c r="R195" s="13">
        <v>8</v>
      </c>
      <c r="T195" s="6">
        <v>4</v>
      </c>
      <c r="U195" s="7">
        <v>6</v>
      </c>
      <c r="V195" s="8"/>
      <c r="W195" s="9">
        <v>5</v>
      </c>
      <c r="Y195" s="10">
        <v>4</v>
      </c>
      <c r="Z195" s="11">
        <v>5</v>
      </c>
      <c r="AA195" s="12">
        <v>5</v>
      </c>
      <c r="AB195" s="13"/>
      <c r="AD195" s="6"/>
      <c r="AE195" s="7">
        <v>4</v>
      </c>
      <c r="AF195" s="8">
        <v>6</v>
      </c>
      <c r="AG195" s="9">
        <v>4</v>
      </c>
      <c r="AI195" s="10">
        <v>5</v>
      </c>
      <c r="AJ195" s="11">
        <v>5</v>
      </c>
      <c r="AK195" s="12">
        <v>3</v>
      </c>
      <c r="AL195" s="13">
        <v>4</v>
      </c>
      <c r="AN195" s="6"/>
      <c r="AO195" s="7">
        <v>5</v>
      </c>
      <c r="AP195" s="8">
        <v>4</v>
      </c>
      <c r="AQ195" s="9">
        <v>4</v>
      </c>
      <c r="AS195" s="10"/>
      <c r="AT195" s="11">
        <v>4</v>
      </c>
      <c r="AU195" s="12"/>
      <c r="AV195" s="13"/>
      <c r="AX195" s="6"/>
      <c r="AY195" s="7"/>
      <c r="AZ195" s="8"/>
      <c r="BA195" s="9"/>
      <c r="BC195" s="46">
        <f t="shared" si="23"/>
        <v>103</v>
      </c>
      <c r="BD195" s="47">
        <f>(SUM(BE195,'Run distances (Term 2)'!BI195,'Run distances (Term 3)'!BI194,'Run distances (Term 4)'!BI195))</f>
        <v>33</v>
      </c>
      <c r="BE195" s="47">
        <f t="shared" si="26"/>
        <v>30.9</v>
      </c>
    </row>
    <row r="196" spans="1:57" x14ac:dyDescent="0.25">
      <c r="A196" s="40" t="s">
        <v>390</v>
      </c>
      <c r="B196" s="41">
        <v>8</v>
      </c>
      <c r="C196" s="40" t="s">
        <v>66</v>
      </c>
      <c r="D196" t="s">
        <v>57</v>
      </c>
      <c r="E196" s="10"/>
      <c r="F196" s="11"/>
      <c r="G196" s="12"/>
      <c r="H196" s="13"/>
      <c r="J196" s="6"/>
      <c r="K196" s="7"/>
      <c r="L196" s="8"/>
      <c r="M196" s="9"/>
      <c r="O196" s="10"/>
      <c r="P196" s="11"/>
      <c r="Q196" s="12"/>
      <c r="R196" s="13"/>
      <c r="T196" s="6"/>
      <c r="U196" s="7">
        <v>4</v>
      </c>
      <c r="V196" s="8">
        <v>5</v>
      </c>
      <c r="W196" s="9">
        <v>5</v>
      </c>
      <c r="Y196" s="10"/>
      <c r="Z196" s="11"/>
      <c r="AA196" s="12"/>
      <c r="AB196" s="13"/>
      <c r="AD196" s="6"/>
      <c r="AE196" s="7"/>
      <c r="AF196" s="8"/>
      <c r="AG196" s="9">
        <v>3</v>
      </c>
      <c r="AI196" s="10"/>
      <c r="AJ196" s="11"/>
      <c r="AK196" s="12"/>
      <c r="AL196" s="13"/>
      <c r="AN196" s="6"/>
      <c r="AO196" s="7">
        <v>6</v>
      </c>
      <c r="AP196" s="8">
        <v>6</v>
      </c>
      <c r="AQ196" s="9">
        <v>4</v>
      </c>
      <c r="AS196" s="10"/>
      <c r="AT196" s="11">
        <v>6</v>
      </c>
      <c r="AU196" s="12"/>
      <c r="AV196" s="13"/>
      <c r="AX196" s="6">
        <v>4</v>
      </c>
      <c r="AY196" s="7"/>
      <c r="AZ196" s="8">
        <v>3</v>
      </c>
      <c r="BA196" s="9">
        <v>3</v>
      </c>
      <c r="BC196" s="46">
        <f t="shared" si="23"/>
        <v>49</v>
      </c>
      <c r="BD196" s="47">
        <f>(SUM(BE196,'Run distances (Term 2)'!BI196,'Run distances (Term 3)'!BI195,'Run distances (Term 4)'!BI196))</f>
        <v>39.299999999999997</v>
      </c>
      <c r="BE196" s="47">
        <f t="shared" si="26"/>
        <v>14.7</v>
      </c>
    </row>
    <row r="197" spans="1:57" x14ac:dyDescent="0.25">
      <c r="A197" s="40" t="s">
        <v>391</v>
      </c>
      <c r="B197" s="41">
        <v>8</v>
      </c>
      <c r="C197" s="40" t="s">
        <v>66</v>
      </c>
      <c r="D197" t="s">
        <v>57</v>
      </c>
      <c r="E197" s="10"/>
      <c r="F197" s="11"/>
      <c r="G197" s="12"/>
      <c r="H197" s="13"/>
      <c r="J197" s="6"/>
      <c r="K197" s="7"/>
      <c r="L197" s="8"/>
      <c r="M197" s="9"/>
      <c r="O197" s="10"/>
      <c r="P197" s="11"/>
      <c r="Q197" s="12"/>
      <c r="R197" s="13">
        <v>6</v>
      </c>
      <c r="T197" s="6"/>
      <c r="U197" s="7"/>
      <c r="V197" s="8">
        <v>6</v>
      </c>
      <c r="W197" s="9"/>
      <c r="Y197" s="10"/>
      <c r="Z197" s="11"/>
      <c r="AA197" s="12"/>
      <c r="AB197" s="13"/>
      <c r="AD197" s="6"/>
      <c r="AE197" s="7"/>
      <c r="AF197" s="8"/>
      <c r="AG197" s="9"/>
      <c r="AI197" s="10"/>
      <c r="AJ197" s="11"/>
      <c r="AK197" s="12"/>
      <c r="AL197" s="13"/>
      <c r="AN197" s="6"/>
      <c r="AO197" s="7"/>
      <c r="AP197" s="8"/>
      <c r="AQ197" s="9"/>
      <c r="AS197" s="10"/>
      <c r="AT197" s="11"/>
      <c r="AU197" s="12"/>
      <c r="AV197" s="13"/>
      <c r="AX197" s="6"/>
      <c r="AY197" s="7"/>
      <c r="AZ197" s="8"/>
      <c r="BA197" s="9"/>
      <c r="BC197" s="46">
        <f t="shared" si="23"/>
        <v>12</v>
      </c>
      <c r="BD197" s="47">
        <f>(SUM(BE197,'Run distances (Term 2)'!BI197,'Run distances (Term 3)'!BI196,'Run distances (Term 4)'!BI197))</f>
        <v>4.1999999999999993</v>
      </c>
      <c r="BE197" s="47">
        <f t="shared" si="26"/>
        <v>3.5999999999999996</v>
      </c>
    </row>
    <row r="198" spans="1:57" x14ac:dyDescent="0.25">
      <c r="A198" s="40" t="s">
        <v>392</v>
      </c>
      <c r="B198" s="41">
        <v>8</v>
      </c>
      <c r="C198" s="40" t="s">
        <v>66</v>
      </c>
      <c r="D198" t="s">
        <v>57</v>
      </c>
      <c r="E198" s="10"/>
      <c r="F198" s="11"/>
      <c r="G198" s="12"/>
      <c r="H198" s="13"/>
      <c r="J198" s="6"/>
      <c r="K198" s="7"/>
      <c r="L198" s="8"/>
      <c r="M198" s="9"/>
      <c r="O198" s="10"/>
      <c r="P198" s="11"/>
      <c r="Q198" s="12"/>
      <c r="R198" s="13"/>
      <c r="T198" s="6"/>
      <c r="U198" s="7"/>
      <c r="V198" s="8"/>
      <c r="W198" s="9"/>
      <c r="Y198" s="10"/>
      <c r="Z198" s="11">
        <v>1</v>
      </c>
      <c r="AA198" s="12">
        <v>1</v>
      </c>
      <c r="AB198" s="13"/>
      <c r="AD198" s="6"/>
      <c r="AE198" s="7"/>
      <c r="AF198" s="8"/>
      <c r="AG198" s="9"/>
      <c r="AI198" s="10"/>
      <c r="AJ198" s="11"/>
      <c r="AK198" s="12"/>
      <c r="AL198" s="13"/>
      <c r="AN198" s="6"/>
      <c r="AO198" s="7"/>
      <c r="AP198" s="8"/>
      <c r="AQ198" s="9"/>
      <c r="AS198" s="10"/>
      <c r="AT198" s="11"/>
      <c r="AU198" s="12"/>
      <c r="AV198" s="13"/>
      <c r="AX198" s="6"/>
      <c r="AY198" s="7"/>
      <c r="AZ198" s="8"/>
      <c r="BA198" s="9"/>
      <c r="BC198" s="46">
        <f t="shared" ref="BC198" si="29">SUM(E198:BA198)</f>
        <v>2</v>
      </c>
      <c r="BD198" s="47">
        <f>(SUM(BE198,'Run distances (Term 2)'!BI198,'Run distances (Term 3)'!BI197,'Run distances (Term 4)'!BI198))</f>
        <v>7.1999999999999993</v>
      </c>
      <c r="BE198" s="47">
        <f t="shared" si="26"/>
        <v>0.6</v>
      </c>
    </row>
    <row r="199" spans="1:57" x14ac:dyDescent="0.25">
      <c r="A199" s="40" t="s">
        <v>393</v>
      </c>
      <c r="B199" s="41">
        <v>8</v>
      </c>
      <c r="C199" s="40" t="s">
        <v>66</v>
      </c>
      <c r="D199" t="s">
        <v>57</v>
      </c>
      <c r="E199" s="10"/>
      <c r="F199" s="11"/>
      <c r="G199" s="12"/>
      <c r="H199" s="13"/>
      <c r="J199" s="6"/>
      <c r="K199" s="7"/>
      <c r="L199" s="8"/>
      <c r="M199" s="9"/>
      <c r="O199" s="10"/>
      <c r="P199" s="11"/>
      <c r="Q199" s="12"/>
      <c r="R199" s="13"/>
      <c r="T199" s="6"/>
      <c r="U199" s="7"/>
      <c r="V199" s="8"/>
      <c r="W199" s="9"/>
      <c r="Y199" s="10"/>
      <c r="Z199" s="11"/>
      <c r="AA199" s="12">
        <v>3</v>
      </c>
      <c r="AB199" s="13"/>
      <c r="AD199" s="6"/>
      <c r="AE199" s="7"/>
      <c r="AF199" s="8"/>
      <c r="AG199" s="9"/>
      <c r="AI199" s="10"/>
      <c r="AJ199" s="11"/>
      <c r="AK199" s="12"/>
      <c r="AL199" s="13"/>
      <c r="AN199" s="6"/>
      <c r="AO199" s="7"/>
      <c r="AP199" s="8"/>
      <c r="AQ199" s="9"/>
      <c r="AS199" s="10"/>
      <c r="AT199" s="11"/>
      <c r="AU199" s="12"/>
      <c r="AV199" s="13"/>
      <c r="AX199" s="6"/>
      <c r="AY199" s="7"/>
      <c r="AZ199" s="8"/>
      <c r="BA199" s="9"/>
      <c r="BC199" s="46">
        <f t="shared" si="23"/>
        <v>3</v>
      </c>
      <c r="BD199" s="47">
        <f>(SUM(BE199,'Run distances (Term 2)'!BI199,'Run distances (Term 3)'!BI198,'Run distances (Term 4)'!BI199))</f>
        <v>2.6999999999999997</v>
      </c>
      <c r="BE199" s="47">
        <f t="shared" si="26"/>
        <v>0.89999999999999991</v>
      </c>
    </row>
    <row r="200" spans="1:57" x14ac:dyDescent="0.25">
      <c r="A200" s="40" t="s">
        <v>394</v>
      </c>
      <c r="B200" s="41">
        <v>9</v>
      </c>
      <c r="C200" s="40" t="s">
        <v>66</v>
      </c>
      <c r="D200" t="s">
        <v>57</v>
      </c>
      <c r="E200" s="10"/>
      <c r="F200" s="11"/>
      <c r="G200" s="12"/>
      <c r="H200" s="13"/>
      <c r="J200" s="6"/>
      <c r="K200" s="7"/>
      <c r="L200" s="8"/>
      <c r="M200" s="9"/>
      <c r="O200" s="10"/>
      <c r="P200" s="11"/>
      <c r="Q200" s="12"/>
      <c r="R200" s="13"/>
      <c r="T200" s="6"/>
      <c r="U200" s="7"/>
      <c r="V200" s="8"/>
      <c r="W200" s="9"/>
      <c r="Y200" s="10"/>
      <c r="Z200" s="11">
        <v>4</v>
      </c>
      <c r="AA200" s="12"/>
      <c r="AB200" s="13"/>
      <c r="AD200" s="6"/>
      <c r="AE200" s="7">
        <v>2</v>
      </c>
      <c r="AF200" s="8"/>
      <c r="AG200" s="9"/>
      <c r="AI200" s="10"/>
      <c r="AJ200" s="11"/>
      <c r="AK200" s="12"/>
      <c r="AL200" s="13"/>
      <c r="AN200" s="6"/>
      <c r="AO200" s="7"/>
      <c r="AP200" s="8"/>
      <c r="AQ200" s="9"/>
      <c r="AS200" s="10"/>
      <c r="AT200" s="11"/>
      <c r="AU200" s="12"/>
      <c r="AV200" s="13"/>
      <c r="AX200" s="6"/>
      <c r="AY200" s="7"/>
      <c r="AZ200" s="8"/>
      <c r="BA200" s="9"/>
      <c r="BC200" s="46">
        <f t="shared" ref="BC200:BC206" si="30">SUM(E200:BA200)</f>
        <v>6</v>
      </c>
      <c r="BD200" s="47">
        <f>(SUM(BE200,'Run distances (Term 2)'!BI200,'Run distances (Term 3)'!BI199,'Run distances (Term 4)'!BI200))</f>
        <v>3</v>
      </c>
      <c r="BE200" s="47">
        <f t="shared" si="26"/>
        <v>1.7999999999999998</v>
      </c>
    </row>
    <row r="201" spans="1:57" x14ac:dyDescent="0.25">
      <c r="A201" s="40" t="s">
        <v>395</v>
      </c>
      <c r="B201" s="41">
        <v>9</v>
      </c>
      <c r="C201" s="40" t="s">
        <v>66</v>
      </c>
      <c r="D201" t="s">
        <v>57</v>
      </c>
      <c r="E201" s="10"/>
      <c r="F201" s="11"/>
      <c r="G201" s="12"/>
      <c r="H201" s="13"/>
      <c r="J201" s="6"/>
      <c r="K201" s="7"/>
      <c r="L201" s="8"/>
      <c r="M201" s="9"/>
      <c r="O201" s="10"/>
      <c r="P201" s="11">
        <v>1</v>
      </c>
      <c r="Q201" s="12">
        <v>2</v>
      </c>
      <c r="R201" s="13"/>
      <c r="T201" s="6"/>
      <c r="U201" s="7"/>
      <c r="V201" s="8">
        <v>1</v>
      </c>
      <c r="W201" s="9">
        <v>1</v>
      </c>
      <c r="Y201" s="10">
        <v>1</v>
      </c>
      <c r="Z201" s="11"/>
      <c r="AA201" s="12"/>
      <c r="AB201" s="13"/>
      <c r="AD201" s="6"/>
      <c r="AE201" s="7"/>
      <c r="AF201" s="8"/>
      <c r="AG201" s="9"/>
      <c r="AI201" s="10"/>
      <c r="AJ201" s="11"/>
      <c r="AK201" s="12"/>
      <c r="AL201" s="13">
        <v>2</v>
      </c>
      <c r="AN201" s="6"/>
      <c r="AO201" s="7"/>
      <c r="AP201" s="8"/>
      <c r="AQ201" s="9"/>
      <c r="AS201" s="10"/>
      <c r="AT201" s="11">
        <v>1</v>
      </c>
      <c r="AU201" s="12"/>
      <c r="AV201" s="13"/>
      <c r="AX201" s="6"/>
      <c r="AY201" s="7"/>
      <c r="AZ201" s="8"/>
      <c r="BA201" s="9"/>
      <c r="BC201" s="46">
        <f t="shared" si="30"/>
        <v>9</v>
      </c>
      <c r="BD201" s="47">
        <f>(SUM(BE201,'Run distances (Term 2)'!BI201,'Run distances (Term 3)'!BI200,'Run distances (Term 4)'!BI201))</f>
        <v>12.9</v>
      </c>
      <c r="BE201" s="47">
        <f t="shared" si="26"/>
        <v>2.6999999999999997</v>
      </c>
    </row>
    <row r="202" spans="1:57" x14ac:dyDescent="0.25">
      <c r="A202" s="40" t="s">
        <v>396</v>
      </c>
      <c r="B202" s="41">
        <v>9</v>
      </c>
      <c r="C202" s="40" t="s">
        <v>66</v>
      </c>
      <c r="D202" t="s">
        <v>57</v>
      </c>
      <c r="E202" s="10"/>
      <c r="F202" s="11"/>
      <c r="G202" s="12"/>
      <c r="H202" s="13"/>
      <c r="J202" s="6"/>
      <c r="K202" s="7"/>
      <c r="L202" s="8"/>
      <c r="M202" s="9"/>
      <c r="O202" s="10"/>
      <c r="P202" s="11"/>
      <c r="Q202" s="12"/>
      <c r="R202" s="13">
        <v>1</v>
      </c>
      <c r="T202" s="6"/>
      <c r="U202" s="7"/>
      <c r="V202" s="8">
        <v>1</v>
      </c>
      <c r="W202" s="9">
        <v>1</v>
      </c>
      <c r="Y202" s="10"/>
      <c r="Z202" s="11"/>
      <c r="AA202" s="12"/>
      <c r="AB202" s="13"/>
      <c r="AD202" s="6"/>
      <c r="AE202" s="7"/>
      <c r="AF202" s="8"/>
      <c r="AG202" s="9"/>
      <c r="AI202" s="10"/>
      <c r="AJ202" s="11"/>
      <c r="AK202" s="12"/>
      <c r="AL202" s="13">
        <v>1</v>
      </c>
      <c r="AN202" s="6"/>
      <c r="AO202" s="7"/>
      <c r="AP202" s="8"/>
      <c r="AQ202" s="9"/>
      <c r="AS202" s="10"/>
      <c r="AT202" s="11"/>
      <c r="AU202" s="12"/>
      <c r="AV202" s="13"/>
      <c r="AX202" s="6"/>
      <c r="AY202" s="7"/>
      <c r="AZ202" s="8"/>
      <c r="BA202" s="9"/>
      <c r="BC202" s="46">
        <f t="shared" si="30"/>
        <v>4</v>
      </c>
      <c r="BD202" s="47">
        <f>(SUM(BE202,'Run distances (Term 2)'!BI202,'Run distances (Term 3)'!BI201,'Run distances (Term 4)'!BI202))</f>
        <v>1.2</v>
      </c>
      <c r="BE202" s="47">
        <f t="shared" si="26"/>
        <v>1.2</v>
      </c>
    </row>
    <row r="203" spans="1:57" x14ac:dyDescent="0.25">
      <c r="A203" s="40" t="s">
        <v>397</v>
      </c>
      <c r="B203" s="41">
        <v>9</v>
      </c>
      <c r="C203" s="40" t="s">
        <v>66</v>
      </c>
      <c r="D203" t="s">
        <v>57</v>
      </c>
      <c r="E203" s="10"/>
      <c r="F203" s="11"/>
      <c r="G203" s="12"/>
      <c r="H203" s="13"/>
      <c r="J203" s="6"/>
      <c r="K203" s="7"/>
      <c r="L203" s="8"/>
      <c r="M203" s="9"/>
      <c r="O203" s="10"/>
      <c r="P203" s="11"/>
      <c r="Q203" s="12"/>
      <c r="R203" s="13"/>
      <c r="T203" s="6"/>
      <c r="U203" s="7"/>
      <c r="V203" s="8"/>
      <c r="W203" s="9"/>
      <c r="Y203" s="10"/>
      <c r="Z203" s="11"/>
      <c r="AA203" s="12"/>
      <c r="AB203" s="13"/>
      <c r="AD203" s="6"/>
      <c r="AE203" s="7"/>
      <c r="AF203" s="8"/>
      <c r="AG203" s="9"/>
      <c r="AI203" s="10"/>
      <c r="AJ203" s="11"/>
      <c r="AK203" s="12"/>
      <c r="AL203" s="13"/>
      <c r="AN203" s="6"/>
      <c r="AO203" s="7"/>
      <c r="AP203" s="8"/>
      <c r="AQ203" s="9">
        <v>2</v>
      </c>
      <c r="AS203" s="10"/>
      <c r="AT203" s="11"/>
      <c r="AU203" s="12"/>
      <c r="AV203" s="13"/>
      <c r="AX203" s="6"/>
      <c r="AY203" s="7"/>
      <c r="AZ203" s="8"/>
      <c r="BA203" s="9"/>
      <c r="BC203" s="46">
        <f t="shared" si="30"/>
        <v>2</v>
      </c>
      <c r="BD203" s="47">
        <f>(SUM(BE203,'Run distances (Term 2)'!BI203,'Run distances (Term 3)'!BI202,'Run distances (Term 4)'!BI203))</f>
        <v>0.89999999999999991</v>
      </c>
      <c r="BE203" s="47">
        <f t="shared" si="26"/>
        <v>0.6</v>
      </c>
    </row>
    <row r="204" spans="1:57" x14ac:dyDescent="0.25">
      <c r="A204" s="40" t="s">
        <v>294</v>
      </c>
      <c r="B204" s="41">
        <v>1</v>
      </c>
      <c r="C204" s="40" t="s">
        <v>66</v>
      </c>
      <c r="D204" t="s">
        <v>62</v>
      </c>
      <c r="E204" s="10"/>
      <c r="F204" s="11"/>
      <c r="G204" s="12"/>
      <c r="H204" s="13"/>
      <c r="J204" s="6">
        <v>2</v>
      </c>
      <c r="K204" s="7">
        <v>0</v>
      </c>
      <c r="L204" s="8"/>
      <c r="M204" s="9"/>
      <c r="O204" s="10"/>
      <c r="P204" s="11"/>
      <c r="Q204" s="12"/>
      <c r="R204" s="13"/>
      <c r="T204" s="6"/>
      <c r="U204" s="7"/>
      <c r="V204" s="8"/>
      <c r="W204" s="9"/>
      <c r="Y204" s="10"/>
      <c r="Z204" s="11"/>
      <c r="AA204" s="12"/>
      <c r="AB204" s="13"/>
      <c r="AD204" s="6"/>
      <c r="AE204" s="7"/>
      <c r="AF204" s="8"/>
      <c r="AG204" s="9"/>
      <c r="AI204" s="10"/>
      <c r="AJ204" s="11"/>
      <c r="AK204" s="12"/>
      <c r="AL204" s="13"/>
      <c r="AN204" s="6"/>
      <c r="AO204" s="7"/>
      <c r="AP204" s="8"/>
      <c r="AQ204" s="9"/>
      <c r="AS204" s="10"/>
      <c r="AT204" s="11"/>
      <c r="AU204" s="12"/>
      <c r="AV204" s="13"/>
      <c r="AX204" s="6"/>
      <c r="AY204" s="7"/>
      <c r="AZ204" s="8"/>
      <c r="BA204" s="9"/>
      <c r="BC204" s="46">
        <f t="shared" si="30"/>
        <v>2</v>
      </c>
      <c r="BD204" s="47">
        <f>(SUM(BE204,'Run distances (Term 2)'!BI204,'Run distances (Term 3)'!BI203,'Run distances (Term 4)'!BI204))</f>
        <v>8.4</v>
      </c>
      <c r="BE204" s="47">
        <f t="shared" si="26"/>
        <v>0.6</v>
      </c>
    </row>
    <row r="205" spans="1:57" x14ac:dyDescent="0.25">
      <c r="A205" s="40" t="s">
        <v>353</v>
      </c>
      <c r="B205" s="41">
        <v>1</v>
      </c>
      <c r="C205" s="40" t="s">
        <v>66</v>
      </c>
      <c r="D205" t="s">
        <v>355</v>
      </c>
      <c r="E205" s="10"/>
      <c r="F205" s="11"/>
      <c r="G205" s="12"/>
      <c r="H205" s="13"/>
      <c r="J205" s="6"/>
      <c r="K205" s="7"/>
      <c r="L205" s="8"/>
      <c r="M205" s="9"/>
      <c r="O205" s="10"/>
      <c r="P205" s="11"/>
      <c r="Q205" s="12"/>
      <c r="R205" s="13"/>
      <c r="T205" s="6"/>
      <c r="U205" s="7"/>
      <c r="V205" s="8"/>
      <c r="W205" s="9"/>
      <c r="Y205" s="10"/>
      <c r="Z205" s="11"/>
      <c r="AA205" s="12"/>
      <c r="AB205" s="13"/>
      <c r="AD205" s="6"/>
      <c r="AE205" s="7"/>
      <c r="AF205" s="8"/>
      <c r="AG205" s="9"/>
      <c r="AI205" s="10"/>
      <c r="AJ205" s="11"/>
      <c r="AK205" s="12"/>
      <c r="AL205" s="13"/>
      <c r="AN205" s="6"/>
      <c r="AO205" s="7"/>
      <c r="AP205" s="8"/>
      <c r="AQ205" s="9"/>
      <c r="AS205" s="10"/>
      <c r="AT205" s="11"/>
      <c r="AU205" s="12"/>
      <c r="AV205" s="13"/>
      <c r="AX205" s="6"/>
      <c r="AY205" s="7"/>
      <c r="AZ205" s="8"/>
      <c r="BA205" s="9"/>
      <c r="BC205" s="46">
        <f t="shared" si="30"/>
        <v>0</v>
      </c>
      <c r="BD205" s="47">
        <f>(SUM(BE205,'Run distances (Term 2)'!BI205,'Run distances (Term 3)'!BI204,'Run distances (Term 4)'!BI205))</f>
        <v>1.5</v>
      </c>
      <c r="BE205" s="47">
        <f t="shared" si="26"/>
        <v>0</v>
      </c>
    </row>
    <row r="206" spans="1:57" x14ac:dyDescent="0.25">
      <c r="A206" s="40" t="s">
        <v>293</v>
      </c>
      <c r="B206" s="41">
        <v>1</v>
      </c>
      <c r="C206" s="40" t="s">
        <v>66</v>
      </c>
      <c r="D206" t="s">
        <v>62</v>
      </c>
      <c r="E206" s="10"/>
      <c r="F206" s="11"/>
      <c r="G206" s="12"/>
      <c r="H206" s="13"/>
      <c r="J206" s="6"/>
      <c r="K206" s="7"/>
      <c r="L206" s="8"/>
      <c r="M206" s="9">
        <v>1</v>
      </c>
      <c r="O206" s="10"/>
      <c r="P206" s="11"/>
      <c r="Q206" s="12"/>
      <c r="R206" s="13"/>
      <c r="T206" s="6"/>
      <c r="U206" s="7"/>
      <c r="V206" s="8"/>
      <c r="W206" s="9"/>
      <c r="Y206" s="10"/>
      <c r="Z206" s="11"/>
      <c r="AA206" s="12"/>
      <c r="AB206" s="13"/>
      <c r="AD206" s="6"/>
      <c r="AE206" s="7"/>
      <c r="AF206" s="8"/>
      <c r="AG206" s="9"/>
      <c r="AI206" s="10"/>
      <c r="AJ206" s="11"/>
      <c r="AK206" s="12"/>
      <c r="AL206" s="13"/>
      <c r="AN206" s="6"/>
      <c r="AO206" s="7"/>
      <c r="AP206" s="8"/>
      <c r="AQ206" s="9"/>
      <c r="AS206" s="10"/>
      <c r="AT206" s="11"/>
      <c r="AU206" s="12"/>
      <c r="AV206" s="13"/>
      <c r="AX206" s="6"/>
      <c r="AY206" s="7"/>
      <c r="AZ206" s="8"/>
      <c r="BA206" s="9">
        <v>1</v>
      </c>
      <c r="BC206" s="46">
        <f t="shared" si="30"/>
        <v>2</v>
      </c>
      <c r="BD206" s="47">
        <f>(SUM(BE206,'Run distances (Term 2)'!BI206,'Run distances (Term 3)'!BI205,'Run distances (Term 4)'!BI206))</f>
        <v>5.0999999999999996</v>
      </c>
      <c r="BE206" s="47">
        <f t="shared" si="26"/>
        <v>0.6</v>
      </c>
    </row>
    <row r="207" spans="1:57" x14ac:dyDescent="0.25">
      <c r="A207" s="40" t="s">
        <v>398</v>
      </c>
      <c r="B207" s="41">
        <v>1</v>
      </c>
      <c r="C207" s="40" t="s">
        <v>66</v>
      </c>
      <c r="D207" t="s">
        <v>62</v>
      </c>
      <c r="E207" s="10"/>
      <c r="F207" s="11"/>
      <c r="G207" s="12"/>
      <c r="H207" s="13"/>
      <c r="J207" s="6"/>
      <c r="K207" s="7"/>
      <c r="L207" s="8"/>
      <c r="M207" s="9"/>
      <c r="O207" s="10"/>
      <c r="P207" s="11"/>
      <c r="Q207" s="12"/>
      <c r="R207" s="13">
        <v>1</v>
      </c>
      <c r="T207" s="6"/>
      <c r="U207" s="7"/>
      <c r="V207" s="8"/>
      <c r="W207" s="9"/>
      <c r="Y207" s="10"/>
      <c r="Z207" s="11"/>
      <c r="AA207" s="12"/>
      <c r="AB207" s="13"/>
      <c r="AD207" s="6"/>
      <c r="AE207" s="7"/>
      <c r="AF207" s="8"/>
      <c r="AG207" s="9"/>
      <c r="AI207" s="10"/>
      <c r="AJ207" s="11"/>
      <c r="AK207" s="12"/>
      <c r="AL207" s="13"/>
      <c r="AN207" s="6"/>
      <c r="AO207" s="7">
        <v>2</v>
      </c>
      <c r="AP207" s="8"/>
      <c r="AQ207" s="9"/>
      <c r="AS207" s="10"/>
      <c r="AT207" s="11"/>
      <c r="AU207" s="12"/>
      <c r="AV207" s="13"/>
      <c r="AX207" s="6">
        <v>3</v>
      </c>
      <c r="AY207" s="7"/>
      <c r="AZ207" s="8">
        <v>3</v>
      </c>
      <c r="BA207" s="9"/>
      <c r="BC207" s="46">
        <f t="shared" ref="BC207" si="31">SUM(E207:BA207)</f>
        <v>9</v>
      </c>
      <c r="BD207" s="47">
        <f>(SUM(BE207,'Run distances (Term 2)'!BI207,'Run distances (Term 3)'!BI206,'Run distances (Term 4)'!BI207))</f>
        <v>7.7999999999999989</v>
      </c>
      <c r="BE207" s="47">
        <f t="shared" si="26"/>
        <v>2.6999999999999997</v>
      </c>
    </row>
    <row r="208" spans="1:57" x14ac:dyDescent="0.25">
      <c r="A208" s="40" t="s">
        <v>399</v>
      </c>
      <c r="B208" s="41">
        <v>1</v>
      </c>
      <c r="C208" s="40" t="s">
        <v>66</v>
      </c>
      <c r="D208" t="s">
        <v>62</v>
      </c>
      <c r="E208" s="10"/>
      <c r="F208" s="11"/>
      <c r="G208" s="12"/>
      <c r="H208" s="13"/>
      <c r="J208" s="6"/>
      <c r="K208" s="7"/>
      <c r="L208" s="8"/>
      <c r="M208" s="9"/>
      <c r="O208" s="10"/>
      <c r="P208" s="11"/>
      <c r="Q208" s="12"/>
      <c r="R208" s="13"/>
      <c r="T208" s="6"/>
      <c r="U208" s="7"/>
      <c r="V208" s="8"/>
      <c r="W208" s="9"/>
      <c r="Y208" s="10"/>
      <c r="Z208" s="11"/>
      <c r="AA208" s="12"/>
      <c r="AB208" s="13"/>
      <c r="AD208" s="6"/>
      <c r="AE208" s="7"/>
      <c r="AF208" s="8"/>
      <c r="AG208" s="9"/>
      <c r="AI208" s="10"/>
      <c r="AJ208" s="11"/>
      <c r="AK208" s="12"/>
      <c r="AL208" s="13"/>
      <c r="AN208" s="6"/>
      <c r="AO208" s="7"/>
      <c r="AP208" s="8">
        <v>1</v>
      </c>
      <c r="AQ208" s="9"/>
      <c r="AS208" s="10"/>
      <c r="AT208" s="11"/>
      <c r="AU208" s="12"/>
      <c r="AV208" s="13"/>
      <c r="AX208" s="6"/>
      <c r="AY208" s="7"/>
      <c r="AZ208" s="8"/>
      <c r="BA208" s="9"/>
      <c r="BC208" s="46">
        <f t="shared" ref="BC208:BC241" si="32">SUM(E208:BA208)</f>
        <v>1</v>
      </c>
      <c r="BD208" s="47">
        <f>(SUM(BE208,'Run distances (Term 2)'!BI208,'Run distances (Term 3)'!BI207,'Run distances (Term 4)'!BI208))</f>
        <v>7.1999999999999993</v>
      </c>
      <c r="BE208" s="47">
        <f t="shared" si="26"/>
        <v>0.3</v>
      </c>
    </row>
    <row r="209" spans="1:57" x14ac:dyDescent="0.25">
      <c r="A209" s="40" t="s">
        <v>351</v>
      </c>
      <c r="B209" s="41">
        <v>1</v>
      </c>
      <c r="C209" s="40" t="s">
        <v>66</v>
      </c>
      <c r="D209" t="s">
        <v>355</v>
      </c>
      <c r="E209" s="10"/>
      <c r="F209" s="11"/>
      <c r="G209" s="12"/>
      <c r="H209" s="13"/>
      <c r="J209" s="6"/>
      <c r="K209" s="7"/>
      <c r="L209" s="8"/>
      <c r="M209" s="9"/>
      <c r="O209" s="10"/>
      <c r="P209" s="11"/>
      <c r="Q209" s="12"/>
      <c r="R209" s="13"/>
      <c r="T209" s="6"/>
      <c r="U209" s="7"/>
      <c r="V209" s="8"/>
      <c r="W209" s="9"/>
      <c r="Y209" s="10"/>
      <c r="Z209" s="11"/>
      <c r="AA209" s="12"/>
      <c r="AB209" s="13"/>
      <c r="AD209" s="6"/>
      <c r="AE209" s="7"/>
      <c r="AF209" s="8"/>
      <c r="AG209" s="9"/>
      <c r="AI209" s="10"/>
      <c r="AJ209" s="11"/>
      <c r="AK209" s="12"/>
      <c r="AL209" s="13"/>
      <c r="AN209" s="6"/>
      <c r="AO209" s="7"/>
      <c r="AP209" s="8"/>
      <c r="AQ209" s="9"/>
      <c r="AS209" s="10"/>
      <c r="AT209" s="11"/>
      <c r="AU209" s="12"/>
      <c r="AV209" s="13"/>
      <c r="AX209" s="6"/>
      <c r="AY209" s="7"/>
      <c r="AZ209" s="8"/>
      <c r="BA209" s="9"/>
      <c r="BC209" s="46">
        <f t="shared" si="32"/>
        <v>0</v>
      </c>
      <c r="BD209" s="47">
        <f>(SUM(BE209,'Run distances (Term 2)'!BI209,'Run distances (Term 3)'!BI208,'Run distances (Term 4)'!BI209))</f>
        <v>3</v>
      </c>
      <c r="BE209" s="47">
        <f t="shared" si="26"/>
        <v>0</v>
      </c>
    </row>
    <row r="210" spans="1:57" x14ac:dyDescent="0.25">
      <c r="A210" s="40" t="s">
        <v>291</v>
      </c>
      <c r="B210" s="40" t="s">
        <v>53</v>
      </c>
      <c r="C210" s="40" t="s">
        <v>66</v>
      </c>
      <c r="D210" t="s">
        <v>62</v>
      </c>
      <c r="E210" s="10">
        <v>1</v>
      </c>
      <c r="F210" s="11"/>
      <c r="G210" s="12"/>
      <c r="H210" s="13">
        <v>1</v>
      </c>
      <c r="J210" s="6"/>
      <c r="K210" s="7"/>
      <c r="L210" s="8"/>
      <c r="M210" s="9"/>
      <c r="O210" s="10"/>
      <c r="P210" s="11"/>
      <c r="Q210" s="12"/>
      <c r="R210" s="13"/>
      <c r="T210" s="6"/>
      <c r="U210" s="7"/>
      <c r="V210" s="8"/>
      <c r="W210" s="9"/>
      <c r="Y210" s="10"/>
      <c r="Z210" s="11"/>
      <c r="AA210" s="12"/>
      <c r="AB210" s="13"/>
      <c r="AD210" s="6"/>
      <c r="AE210" s="7"/>
      <c r="AF210" s="8"/>
      <c r="AG210" s="9"/>
      <c r="AI210" s="10"/>
      <c r="AJ210" s="11"/>
      <c r="AK210" s="12"/>
      <c r="AL210" s="13"/>
      <c r="AN210" s="6"/>
      <c r="AO210" s="7"/>
      <c r="AP210" s="8"/>
      <c r="AQ210" s="9"/>
      <c r="AS210" s="10"/>
      <c r="AT210" s="11"/>
      <c r="AU210" s="12"/>
      <c r="AV210" s="13"/>
      <c r="AX210" s="6"/>
      <c r="AY210" s="7"/>
      <c r="AZ210" s="8"/>
      <c r="BA210" s="9"/>
      <c r="BC210" s="46">
        <f t="shared" si="32"/>
        <v>2</v>
      </c>
      <c r="BD210" s="47">
        <f>(SUM(BE210,'Run distances (Term 2)'!BI210,'Run distances (Term 3)'!BI209,'Run distances (Term 4)'!BI210))</f>
        <v>9</v>
      </c>
      <c r="BE210" s="47">
        <f t="shared" si="26"/>
        <v>0.6</v>
      </c>
    </row>
    <row r="211" spans="1:57" x14ac:dyDescent="0.25">
      <c r="A211" s="40" t="s">
        <v>290</v>
      </c>
      <c r="B211" s="40" t="s">
        <v>53</v>
      </c>
      <c r="C211" s="40" t="s">
        <v>66</v>
      </c>
      <c r="D211" t="s">
        <v>62</v>
      </c>
      <c r="E211" s="10"/>
      <c r="F211" s="11"/>
      <c r="G211" s="12"/>
      <c r="H211" s="13"/>
      <c r="J211" s="6"/>
      <c r="K211" s="7"/>
      <c r="L211" s="8"/>
      <c r="M211" s="9">
        <v>1</v>
      </c>
      <c r="O211" s="10"/>
      <c r="P211" s="11"/>
      <c r="Q211" s="12">
        <v>5</v>
      </c>
      <c r="R211" s="13">
        <v>5</v>
      </c>
      <c r="T211" s="6"/>
      <c r="U211" s="7"/>
      <c r="V211" s="8"/>
      <c r="W211" s="9"/>
      <c r="Y211" s="10"/>
      <c r="Z211" s="11"/>
      <c r="AA211" s="12"/>
      <c r="AB211" s="13"/>
      <c r="AD211" s="6"/>
      <c r="AE211" s="7"/>
      <c r="AF211" s="8"/>
      <c r="AG211" s="9"/>
      <c r="AI211" s="10"/>
      <c r="AJ211" s="11"/>
      <c r="AK211" s="12"/>
      <c r="AL211" s="13"/>
      <c r="AN211" s="6"/>
      <c r="AO211" s="7"/>
      <c r="AP211" s="8"/>
      <c r="AQ211" s="9"/>
      <c r="AS211" s="10"/>
      <c r="AT211" s="11"/>
      <c r="AU211" s="12"/>
      <c r="AV211" s="13"/>
      <c r="AX211" s="6"/>
      <c r="AY211" s="7"/>
      <c r="AZ211" s="8"/>
      <c r="BA211" s="9">
        <v>1</v>
      </c>
      <c r="BC211" s="46">
        <f t="shared" si="32"/>
        <v>12</v>
      </c>
      <c r="BD211" s="47">
        <f>(SUM(BE211,'Run distances (Term 2)'!BI211,'Run distances (Term 3)'!BI210,'Run distances (Term 4)'!BI211))</f>
        <v>9.6</v>
      </c>
      <c r="BE211" s="47">
        <f t="shared" si="26"/>
        <v>3.5999999999999996</v>
      </c>
    </row>
    <row r="212" spans="1:57" x14ac:dyDescent="0.25">
      <c r="A212" s="40" t="s">
        <v>289</v>
      </c>
      <c r="B212" s="40" t="s">
        <v>53</v>
      </c>
      <c r="C212" s="40" t="s">
        <v>66</v>
      </c>
      <c r="D212" t="s">
        <v>54</v>
      </c>
      <c r="E212" s="10"/>
      <c r="F212" s="11"/>
      <c r="G212" s="12"/>
      <c r="H212" s="13">
        <v>1</v>
      </c>
      <c r="J212" s="6"/>
      <c r="K212" s="7"/>
      <c r="L212" s="8"/>
      <c r="M212" s="9"/>
      <c r="O212" s="10"/>
      <c r="P212" s="11"/>
      <c r="Q212" s="12"/>
      <c r="R212" s="13">
        <v>1</v>
      </c>
      <c r="T212" s="6"/>
      <c r="U212" s="7"/>
      <c r="V212" s="8"/>
      <c r="W212" s="9"/>
      <c r="Y212" s="10"/>
      <c r="Z212" s="11">
        <v>1</v>
      </c>
      <c r="AA212" s="12">
        <v>1</v>
      </c>
      <c r="AB212" s="13"/>
      <c r="AD212" s="6"/>
      <c r="AE212" s="7"/>
      <c r="AF212" s="8">
        <v>1</v>
      </c>
      <c r="AG212" s="9"/>
      <c r="AI212" s="10">
        <v>1</v>
      </c>
      <c r="AJ212" s="11"/>
      <c r="AK212" s="12">
        <v>1</v>
      </c>
      <c r="AL212" s="13">
        <v>1</v>
      </c>
      <c r="AN212" s="6"/>
      <c r="AO212" s="7"/>
      <c r="AP212" s="8">
        <v>1</v>
      </c>
      <c r="AQ212" s="9"/>
      <c r="AS212" s="10"/>
      <c r="AT212" s="11"/>
      <c r="AU212" s="12"/>
      <c r="AV212" s="13"/>
      <c r="AX212" s="6"/>
      <c r="AY212" s="7"/>
      <c r="AZ212" s="8"/>
      <c r="BA212" s="9"/>
      <c r="BC212" s="46">
        <f t="shared" si="32"/>
        <v>9</v>
      </c>
      <c r="BD212" s="47">
        <f>(SUM(BE212,'Run distances (Term 2)'!BI212,'Run distances (Term 3)'!BI211,'Run distances (Term 4)'!BI212))</f>
        <v>5.0999999999999996</v>
      </c>
      <c r="BE212" s="47">
        <f t="shared" si="26"/>
        <v>2.6999999999999997</v>
      </c>
    </row>
    <row r="213" spans="1:57" x14ac:dyDescent="0.25">
      <c r="A213" s="40" t="s">
        <v>400</v>
      </c>
      <c r="B213" s="40" t="s">
        <v>53</v>
      </c>
      <c r="C213" s="40" t="s">
        <v>66</v>
      </c>
      <c r="D213" t="s">
        <v>54</v>
      </c>
      <c r="E213" s="10"/>
      <c r="F213" s="11"/>
      <c r="G213" s="12"/>
      <c r="H213" s="13"/>
      <c r="J213" s="6"/>
      <c r="K213" s="7"/>
      <c r="L213" s="8"/>
      <c r="M213" s="9"/>
      <c r="O213" s="10"/>
      <c r="P213" s="11"/>
      <c r="Q213" s="12">
        <v>1</v>
      </c>
      <c r="R213" s="13"/>
      <c r="T213" s="6"/>
      <c r="U213" s="7"/>
      <c r="V213" s="8"/>
      <c r="W213" s="9"/>
      <c r="Y213" s="10"/>
      <c r="Z213" s="11"/>
      <c r="AA213" s="12"/>
      <c r="AB213" s="13"/>
      <c r="AD213" s="6"/>
      <c r="AE213" s="7"/>
      <c r="AF213" s="8"/>
      <c r="AG213" s="9"/>
      <c r="AI213" s="10"/>
      <c r="AJ213" s="11"/>
      <c r="AK213" s="12"/>
      <c r="AL213" s="13"/>
      <c r="AN213" s="6"/>
      <c r="AO213" s="7"/>
      <c r="AP213" s="8"/>
      <c r="AQ213" s="9"/>
      <c r="AS213" s="10"/>
      <c r="AT213" s="11"/>
      <c r="AU213" s="12"/>
      <c r="AV213" s="13"/>
      <c r="AX213" s="6"/>
      <c r="AY213" s="7"/>
      <c r="AZ213" s="8"/>
      <c r="BA213" s="9"/>
      <c r="BC213" s="46">
        <f t="shared" si="32"/>
        <v>1</v>
      </c>
      <c r="BD213" s="47">
        <f>(SUM(BE213,'Run distances (Term 2)'!BI213,'Run distances (Term 3)'!BI212,'Run distances (Term 4)'!BI213))</f>
        <v>0.3</v>
      </c>
      <c r="BE213" s="47">
        <f t="shared" si="26"/>
        <v>0.3</v>
      </c>
    </row>
    <row r="214" spans="1:57" x14ac:dyDescent="0.25">
      <c r="A214" s="40" t="s">
        <v>401</v>
      </c>
      <c r="B214" s="40" t="s">
        <v>53</v>
      </c>
      <c r="C214" s="40" t="s">
        <v>66</v>
      </c>
      <c r="D214" t="s">
        <v>54</v>
      </c>
      <c r="E214" s="10"/>
      <c r="F214" s="11"/>
      <c r="G214" s="12"/>
      <c r="H214" s="13"/>
      <c r="J214" s="6"/>
      <c r="K214" s="7"/>
      <c r="L214" s="8"/>
      <c r="M214" s="9"/>
      <c r="O214" s="10"/>
      <c r="P214" s="11"/>
      <c r="Q214" s="12"/>
      <c r="R214" s="13"/>
      <c r="T214" s="6"/>
      <c r="U214" s="7"/>
      <c r="V214" s="8"/>
      <c r="W214" s="9">
        <v>1</v>
      </c>
      <c r="Y214" s="10">
        <v>1</v>
      </c>
      <c r="Z214" s="11"/>
      <c r="AA214" s="12"/>
      <c r="AB214" s="13"/>
      <c r="AD214" s="6"/>
      <c r="AE214" s="7"/>
      <c r="AF214" s="8"/>
      <c r="AG214" s="9"/>
      <c r="AI214" s="10"/>
      <c r="AJ214" s="11"/>
      <c r="AK214" s="12">
        <v>1</v>
      </c>
      <c r="AL214" s="13">
        <v>2</v>
      </c>
      <c r="AN214" s="6"/>
      <c r="AO214" s="7"/>
      <c r="AP214" s="8"/>
      <c r="AQ214" s="9"/>
      <c r="AS214" s="10"/>
      <c r="AT214" s="11"/>
      <c r="AU214" s="12"/>
      <c r="AV214" s="13"/>
      <c r="AX214" s="6"/>
      <c r="AY214" s="7"/>
      <c r="AZ214" s="8"/>
      <c r="BA214" s="9">
        <v>1</v>
      </c>
      <c r="BC214" s="46">
        <f t="shared" si="32"/>
        <v>6</v>
      </c>
      <c r="BD214" s="47">
        <f>(SUM(BE214,'Run distances (Term 2)'!BI214,'Run distances (Term 3)'!BI213,'Run distances (Term 4)'!BI214))</f>
        <v>7.1999999999999993</v>
      </c>
      <c r="BE214" s="47">
        <f t="shared" si="26"/>
        <v>1.7999999999999998</v>
      </c>
    </row>
    <row r="215" spans="1:57" x14ac:dyDescent="0.25">
      <c r="A215" s="40" t="s">
        <v>403</v>
      </c>
      <c r="B215" s="40" t="s">
        <v>53</v>
      </c>
      <c r="C215" s="40" t="s">
        <v>66</v>
      </c>
      <c r="D215" s="50" t="s">
        <v>54</v>
      </c>
      <c r="E215" s="10"/>
      <c r="F215" s="11"/>
      <c r="G215" s="12"/>
      <c r="H215" s="13"/>
      <c r="J215" s="6"/>
      <c r="K215" s="7"/>
      <c r="L215" s="8"/>
      <c r="M215" s="9"/>
      <c r="O215" s="10"/>
      <c r="P215" s="11"/>
      <c r="Q215" s="12"/>
      <c r="R215" s="13"/>
      <c r="T215" s="6"/>
      <c r="U215" s="7"/>
      <c r="V215" s="8"/>
      <c r="W215" s="9"/>
      <c r="Y215" s="10"/>
      <c r="Z215" s="11"/>
      <c r="AA215" s="12"/>
      <c r="AB215" s="13"/>
      <c r="AD215" s="6"/>
      <c r="AE215" s="7"/>
      <c r="AF215" s="8"/>
      <c r="AG215" s="9"/>
      <c r="AI215" s="10"/>
      <c r="AJ215" s="11"/>
      <c r="AK215" s="12"/>
      <c r="AL215" s="13"/>
      <c r="AN215" s="6"/>
      <c r="AO215" s="7"/>
      <c r="AP215" s="8"/>
      <c r="AQ215" s="9"/>
      <c r="AS215" s="10"/>
      <c r="AT215" s="11"/>
      <c r="AU215" s="12"/>
      <c r="AV215" s="13"/>
      <c r="AX215" s="6"/>
      <c r="AY215" s="7"/>
      <c r="AZ215" s="8"/>
      <c r="BA215" s="9"/>
      <c r="BC215" s="46">
        <f t="shared" si="32"/>
        <v>0</v>
      </c>
      <c r="BD215" s="47">
        <f>(SUM(BE215,'Run distances (Term 2)'!BI215,'Run distances (Term 3)'!BI214,'Run distances (Term 4)'!BI215))</f>
        <v>0.89999999999999991</v>
      </c>
      <c r="BE215" s="47">
        <f t="shared" si="26"/>
        <v>0</v>
      </c>
    </row>
    <row r="216" spans="1:57" x14ac:dyDescent="0.25">
      <c r="A216" s="40" t="s">
        <v>402</v>
      </c>
      <c r="B216" s="40">
        <v>7</v>
      </c>
      <c r="C216" s="40" t="s">
        <v>66</v>
      </c>
      <c r="E216" s="10"/>
      <c r="F216" s="11"/>
      <c r="G216" s="12"/>
      <c r="H216" s="13"/>
      <c r="J216" s="6"/>
      <c r="K216" s="7"/>
      <c r="L216" s="8"/>
      <c r="M216" s="9"/>
      <c r="O216" s="10">
        <v>2</v>
      </c>
      <c r="P216" s="11"/>
      <c r="Q216" s="12">
        <v>5</v>
      </c>
      <c r="R216" s="13">
        <v>4</v>
      </c>
      <c r="T216" s="6">
        <v>7</v>
      </c>
      <c r="U216" s="7">
        <v>5</v>
      </c>
      <c r="V216" s="8">
        <v>5</v>
      </c>
      <c r="W216" s="9">
        <v>5</v>
      </c>
      <c r="Y216" s="10"/>
      <c r="Z216" s="11"/>
      <c r="AA216" s="12"/>
      <c r="AB216" s="13"/>
      <c r="AD216" s="6"/>
      <c r="AE216" s="7"/>
      <c r="AF216" s="8">
        <v>6</v>
      </c>
      <c r="AG216" s="9">
        <v>6</v>
      </c>
      <c r="AI216" s="10">
        <v>5</v>
      </c>
      <c r="AJ216" s="11">
        <v>3</v>
      </c>
      <c r="AK216" s="12"/>
      <c r="AL216" s="13">
        <v>6</v>
      </c>
      <c r="AN216" s="6"/>
      <c r="AO216" s="7">
        <v>6</v>
      </c>
      <c r="AP216" s="8">
        <v>4</v>
      </c>
      <c r="AQ216" s="9">
        <v>5</v>
      </c>
      <c r="AS216" s="10"/>
      <c r="AT216" s="11">
        <v>7</v>
      </c>
      <c r="AU216" s="12"/>
      <c r="AV216" s="13"/>
      <c r="AX216" s="6">
        <v>8</v>
      </c>
      <c r="AY216" s="7"/>
      <c r="AZ216" s="8">
        <v>5</v>
      </c>
      <c r="BA216" s="9">
        <v>7</v>
      </c>
      <c r="BC216" s="46">
        <f t="shared" si="32"/>
        <v>101</v>
      </c>
      <c r="BD216" s="47">
        <f>(SUM(BE216,'Run distances (Term 2)'!BI216,'Run distances (Term 3)'!BI215,'Run distances (Term 4)'!BI216))</f>
        <v>95.399999999999991</v>
      </c>
      <c r="BE216" s="47">
        <f t="shared" si="26"/>
        <v>30.299999999999997</v>
      </c>
    </row>
    <row r="217" spans="1:57" x14ac:dyDescent="0.25">
      <c r="A217" s="40" t="s">
        <v>257</v>
      </c>
      <c r="B217" s="40">
        <v>7</v>
      </c>
      <c r="C217" s="40" t="s">
        <v>66</v>
      </c>
      <c r="E217" s="10"/>
      <c r="F217" s="11"/>
      <c r="G217" s="12"/>
      <c r="H217" s="13"/>
      <c r="J217" s="6"/>
      <c r="K217" s="7"/>
      <c r="L217" s="8"/>
      <c r="M217" s="9"/>
      <c r="O217" s="10"/>
      <c r="P217" s="11"/>
      <c r="Q217" s="12"/>
      <c r="R217" s="13">
        <v>4</v>
      </c>
      <c r="T217" s="6"/>
      <c r="U217" s="7"/>
      <c r="V217" s="8"/>
      <c r="W217" s="9"/>
      <c r="Y217" s="10"/>
      <c r="Z217" s="11"/>
      <c r="AA217" s="12">
        <v>1</v>
      </c>
      <c r="AB217" s="13"/>
      <c r="AD217" s="6"/>
      <c r="AE217" s="7"/>
      <c r="AF217" s="8"/>
      <c r="AG217" s="9"/>
      <c r="AI217" s="10"/>
      <c r="AJ217" s="11"/>
      <c r="AK217" s="12"/>
      <c r="AL217" s="13"/>
      <c r="AN217" s="6"/>
      <c r="AO217" s="7"/>
      <c r="AP217" s="8"/>
      <c r="AQ217" s="9"/>
      <c r="AS217" s="10"/>
      <c r="AT217" s="11"/>
      <c r="AU217" s="12"/>
      <c r="AV217" s="13"/>
      <c r="AX217" s="6"/>
      <c r="AY217" s="7"/>
      <c r="AZ217" s="8"/>
      <c r="BA217" s="9"/>
      <c r="BC217" s="46">
        <f t="shared" si="32"/>
        <v>5</v>
      </c>
      <c r="BD217" s="47">
        <f>(SUM(BE217,'Run distances (Term 2)'!BI217,'Run distances (Term 3)'!BI216,'Run distances (Term 4)'!BI217))</f>
        <v>3.3</v>
      </c>
      <c r="BE217" s="47">
        <f t="shared" si="26"/>
        <v>1.5</v>
      </c>
    </row>
    <row r="218" spans="1:57" x14ac:dyDescent="0.25">
      <c r="A218" s="40" t="s">
        <v>404</v>
      </c>
      <c r="B218" s="40">
        <v>7</v>
      </c>
      <c r="C218" s="40" t="s">
        <v>66</v>
      </c>
      <c r="E218" s="10"/>
      <c r="F218" s="11"/>
      <c r="G218" s="12"/>
      <c r="H218" s="13"/>
      <c r="J218" s="6"/>
      <c r="K218" s="7"/>
      <c r="L218" s="8"/>
      <c r="M218" s="9"/>
      <c r="O218" s="10"/>
      <c r="P218" s="11"/>
      <c r="Q218" s="12"/>
      <c r="R218" s="13"/>
      <c r="T218" s="6"/>
      <c r="U218" s="7"/>
      <c r="V218" s="8"/>
      <c r="W218" s="9">
        <v>3</v>
      </c>
      <c r="Y218" s="10"/>
      <c r="Z218" s="11"/>
      <c r="AA218" s="12"/>
      <c r="AB218" s="13"/>
      <c r="AD218" s="6"/>
      <c r="AE218" s="7"/>
      <c r="AF218" s="8">
        <v>2</v>
      </c>
      <c r="AG218" s="9"/>
      <c r="AI218" s="10"/>
      <c r="AJ218" s="11">
        <v>4</v>
      </c>
      <c r="AK218" s="12"/>
      <c r="AL218" s="13"/>
      <c r="AN218" s="6"/>
      <c r="AO218" s="7"/>
      <c r="AP218" s="8"/>
      <c r="AQ218" s="9"/>
      <c r="AS218" s="10"/>
      <c r="AT218" s="11"/>
      <c r="AU218" s="12"/>
      <c r="AV218" s="13"/>
      <c r="AX218" s="6"/>
      <c r="AY218" s="7"/>
      <c r="AZ218" s="8"/>
      <c r="BA218" s="9"/>
      <c r="BC218" s="46">
        <f t="shared" si="32"/>
        <v>9</v>
      </c>
      <c r="BD218" s="47">
        <f>(SUM(BE218,'Run distances (Term 2)'!BI218,'Run distances (Term 3)'!BI217,'Run distances (Term 4)'!BI218))</f>
        <v>5.3999999999999995</v>
      </c>
      <c r="BE218" s="47">
        <f t="shared" si="26"/>
        <v>2.6999999999999997</v>
      </c>
    </row>
    <row r="219" spans="1:57" x14ac:dyDescent="0.25">
      <c r="A219" s="40" t="s">
        <v>405</v>
      </c>
      <c r="B219" s="40">
        <v>7</v>
      </c>
      <c r="C219" s="40" t="s">
        <v>66</v>
      </c>
      <c r="E219" s="10"/>
      <c r="F219" s="11"/>
      <c r="G219" s="12"/>
      <c r="H219" s="13"/>
      <c r="J219" s="6"/>
      <c r="K219" s="7"/>
      <c r="L219" s="8"/>
      <c r="M219" s="9"/>
      <c r="O219" s="10"/>
      <c r="P219" s="11"/>
      <c r="Q219" s="12"/>
      <c r="R219" s="13"/>
      <c r="T219" s="6"/>
      <c r="U219" s="7"/>
      <c r="V219" s="8"/>
      <c r="W219" s="9"/>
      <c r="Y219" s="10"/>
      <c r="Z219" s="11"/>
      <c r="AA219" s="12"/>
      <c r="AB219" s="13"/>
      <c r="AD219" s="6"/>
      <c r="AE219" s="7"/>
      <c r="AF219" s="8"/>
      <c r="AG219" s="9"/>
      <c r="AI219" s="10"/>
      <c r="AJ219" s="11"/>
      <c r="AK219" s="12"/>
      <c r="AL219" s="13"/>
      <c r="AN219" s="6"/>
      <c r="AO219" s="7"/>
      <c r="AP219" s="8"/>
      <c r="AQ219" s="9"/>
      <c r="AS219" s="10"/>
      <c r="AT219" s="11"/>
      <c r="AU219" s="12"/>
      <c r="AV219" s="13"/>
      <c r="AX219" s="6"/>
      <c r="AY219" s="7"/>
      <c r="AZ219" s="8"/>
      <c r="BA219" s="9">
        <v>3</v>
      </c>
      <c r="BC219" s="46">
        <f t="shared" si="32"/>
        <v>3</v>
      </c>
      <c r="BD219" s="47">
        <f>(SUM(BE219,'Run distances (Term 2)'!BI219,'Run distances (Term 3)'!BI218,'Run distances (Term 4)'!BI219))</f>
        <v>21.599999999999998</v>
      </c>
      <c r="BE219" s="47">
        <f t="shared" si="26"/>
        <v>0.89999999999999991</v>
      </c>
    </row>
    <row r="220" spans="1:57" x14ac:dyDescent="0.25">
      <c r="A220" s="40" t="s">
        <v>406</v>
      </c>
      <c r="B220" s="40">
        <v>8</v>
      </c>
      <c r="C220" s="40" t="s">
        <v>66</v>
      </c>
      <c r="E220" s="10"/>
      <c r="F220" s="11"/>
      <c r="G220" s="12"/>
      <c r="H220" s="13"/>
      <c r="J220" s="6"/>
      <c r="K220" s="7"/>
      <c r="L220" s="8"/>
      <c r="M220" s="9"/>
      <c r="O220" s="10">
        <v>2</v>
      </c>
      <c r="P220" s="11">
        <v>3</v>
      </c>
      <c r="Q220" s="12">
        <v>3</v>
      </c>
      <c r="R220" s="13">
        <v>4</v>
      </c>
      <c r="T220" s="6"/>
      <c r="U220" s="7">
        <v>2</v>
      </c>
      <c r="V220" s="8">
        <v>2</v>
      </c>
      <c r="W220" s="9">
        <v>7</v>
      </c>
      <c r="Y220" s="10"/>
      <c r="Z220" s="11"/>
      <c r="AA220" s="12">
        <v>1</v>
      </c>
      <c r="AB220" s="13"/>
      <c r="AD220" s="6"/>
      <c r="AE220" s="7"/>
      <c r="AF220" s="8"/>
      <c r="AG220" s="9"/>
      <c r="AI220" s="10"/>
      <c r="AJ220" s="11"/>
      <c r="AK220" s="12"/>
      <c r="AL220" s="13"/>
      <c r="AN220" s="6"/>
      <c r="AO220" s="7"/>
      <c r="AP220" s="8"/>
      <c r="AQ220" s="9"/>
      <c r="AS220" s="10"/>
      <c r="AT220" s="11"/>
      <c r="AU220" s="12"/>
      <c r="AV220" s="13"/>
      <c r="AX220" s="6"/>
      <c r="AY220" s="7"/>
      <c r="AZ220" s="8"/>
      <c r="BA220" s="9"/>
      <c r="BC220" s="46">
        <f t="shared" si="32"/>
        <v>24</v>
      </c>
      <c r="BD220" s="47">
        <f>(SUM(BE220,'Run distances (Term 2)'!BI220,'Run distances (Term 3)'!BI219,'Run distances (Term 4)'!BI220))</f>
        <v>16.2</v>
      </c>
      <c r="BE220" s="47">
        <f t="shared" si="26"/>
        <v>7.1999999999999993</v>
      </c>
    </row>
    <row r="221" spans="1:57" x14ac:dyDescent="0.25">
      <c r="A221" s="40" t="s">
        <v>407</v>
      </c>
      <c r="B221" s="40"/>
      <c r="C221" s="40" t="s">
        <v>66</v>
      </c>
      <c r="E221" s="10"/>
      <c r="F221" s="11"/>
      <c r="G221" s="12"/>
      <c r="H221" s="13"/>
      <c r="J221" s="6"/>
      <c r="K221" s="7"/>
      <c r="L221" s="8"/>
      <c r="M221" s="9"/>
      <c r="O221" s="10"/>
      <c r="P221" s="11"/>
      <c r="Q221" s="12"/>
      <c r="R221" s="13"/>
      <c r="T221" s="6"/>
      <c r="U221" s="7"/>
      <c r="V221" s="8"/>
      <c r="W221" s="9"/>
      <c r="Y221" s="10"/>
      <c r="Z221" s="11"/>
      <c r="AA221" s="12"/>
      <c r="AB221" s="13"/>
      <c r="AD221" s="6"/>
      <c r="AE221" s="7"/>
      <c r="AF221" s="8"/>
      <c r="AG221" s="9"/>
      <c r="AI221" s="10"/>
      <c r="AJ221" s="11"/>
      <c r="AK221" s="12"/>
      <c r="AL221" s="13"/>
      <c r="AN221" s="6"/>
      <c r="AO221" s="7"/>
      <c r="AP221" s="8"/>
      <c r="AQ221" s="9"/>
      <c r="AS221" s="10"/>
      <c r="AT221" s="11"/>
      <c r="AU221" s="12"/>
      <c r="AV221" s="13"/>
      <c r="AX221" s="6"/>
      <c r="AY221" s="7"/>
      <c r="AZ221" s="8"/>
      <c r="BA221" s="9">
        <v>7</v>
      </c>
      <c r="BC221" s="46">
        <f t="shared" si="32"/>
        <v>7</v>
      </c>
      <c r="BD221" s="47">
        <f>(SUM(BE221,'Run distances (Term 2)'!BI221,'Run distances (Term 3)'!BI220,'Run distances (Term 4)'!BI221))</f>
        <v>2.1</v>
      </c>
      <c r="BE221" s="47">
        <f t="shared" si="26"/>
        <v>2.1</v>
      </c>
    </row>
    <row r="222" spans="1:57" x14ac:dyDescent="0.25">
      <c r="A222" s="40" t="s">
        <v>352</v>
      </c>
      <c r="B222" s="40">
        <v>4</v>
      </c>
      <c r="C222" s="40" t="s">
        <v>66</v>
      </c>
      <c r="D222" t="s">
        <v>55</v>
      </c>
      <c r="E222" s="10"/>
      <c r="F222" s="11"/>
      <c r="G222" s="12"/>
      <c r="H222" s="13"/>
      <c r="J222" s="6"/>
      <c r="K222" s="7"/>
      <c r="L222" s="8"/>
      <c r="M222" s="9"/>
      <c r="O222" s="10"/>
      <c r="P222" s="11"/>
      <c r="Q222" s="12"/>
      <c r="R222" s="13"/>
      <c r="T222" s="6"/>
      <c r="U222" s="7"/>
      <c r="V222" s="8"/>
      <c r="W222" s="9"/>
      <c r="Y222" s="10"/>
      <c r="Z222" s="11"/>
      <c r="AA222" s="12"/>
      <c r="AB222" s="13"/>
      <c r="AD222" s="6"/>
      <c r="AE222" s="7"/>
      <c r="AF222" s="8"/>
      <c r="AG222" s="9"/>
      <c r="AI222" s="10"/>
      <c r="AJ222" s="11"/>
      <c r="AK222" s="12"/>
      <c r="AL222" s="13"/>
      <c r="AN222" s="6"/>
      <c r="AO222" s="7"/>
      <c r="AP222" s="8"/>
      <c r="AQ222" s="9"/>
      <c r="AS222" s="10"/>
      <c r="AT222" s="11"/>
      <c r="AU222" s="12"/>
      <c r="AV222" s="13"/>
      <c r="AX222" s="6"/>
      <c r="AY222" s="7"/>
      <c r="AZ222" s="8"/>
      <c r="BA222" s="9">
        <v>7</v>
      </c>
      <c r="BC222" s="46">
        <f t="shared" si="32"/>
        <v>7</v>
      </c>
      <c r="BD222" s="47">
        <f>(SUM(BE222,'Run distances (Term 2)'!BI222,'Run distances (Term 3)'!BI221,'Run distances (Term 4)'!BI222))</f>
        <v>15.6</v>
      </c>
      <c r="BE222" s="47">
        <f t="shared" si="26"/>
        <v>2.1</v>
      </c>
    </row>
    <row r="223" spans="1:57" x14ac:dyDescent="0.25">
      <c r="A223" s="40" t="s">
        <v>416</v>
      </c>
      <c r="B223" s="40">
        <v>6</v>
      </c>
      <c r="C223" s="40" t="s">
        <v>66</v>
      </c>
      <c r="E223" s="10"/>
      <c r="F223" s="11"/>
      <c r="G223" s="12"/>
      <c r="H223" s="13"/>
      <c r="J223" s="6"/>
      <c r="K223" s="7"/>
      <c r="L223" s="8"/>
      <c r="M223" s="9"/>
      <c r="O223" s="10"/>
      <c r="P223" s="11"/>
      <c r="Q223" s="12"/>
      <c r="R223" s="13"/>
      <c r="T223" s="6"/>
      <c r="U223" s="7"/>
      <c r="V223" s="8"/>
      <c r="W223" s="9"/>
      <c r="Y223" s="10"/>
      <c r="Z223" s="11"/>
      <c r="AA223" s="12"/>
      <c r="AB223" s="13"/>
      <c r="AD223" s="6"/>
      <c r="AE223" s="7"/>
      <c r="AF223" s="8"/>
      <c r="AG223" s="9"/>
      <c r="AI223" s="10"/>
      <c r="AJ223" s="11"/>
      <c r="AK223" s="12"/>
      <c r="AL223" s="13"/>
      <c r="AN223" s="6"/>
      <c r="AO223" s="7"/>
      <c r="AP223" s="8"/>
      <c r="AQ223" s="9"/>
      <c r="AS223" s="10"/>
      <c r="AT223" s="11"/>
      <c r="AU223" s="12"/>
      <c r="AV223" s="13"/>
      <c r="AX223" s="6"/>
      <c r="AY223" s="7"/>
      <c r="AZ223" s="8"/>
      <c r="BA223" s="9"/>
      <c r="BC223" s="46">
        <f t="shared" si="32"/>
        <v>0</v>
      </c>
      <c r="BD223" s="47">
        <f>(SUM(BE223,'Run distances (Term 2)'!BI223,'Run distances (Term 3)'!BI222,'Run distances (Term 4)'!BI223))</f>
        <v>8.4</v>
      </c>
      <c r="BE223" s="47">
        <f t="shared" si="26"/>
        <v>0</v>
      </c>
    </row>
    <row r="224" spans="1:57" x14ac:dyDescent="0.25">
      <c r="A224" s="40" t="s">
        <v>421</v>
      </c>
      <c r="B224" s="40"/>
      <c r="C224" s="40" t="s">
        <v>66</v>
      </c>
      <c r="E224" s="10"/>
      <c r="F224" s="11"/>
      <c r="G224" s="12"/>
      <c r="H224" s="13"/>
      <c r="J224" s="6"/>
      <c r="K224" s="7"/>
      <c r="L224" s="8"/>
      <c r="M224" s="9"/>
      <c r="O224" s="10"/>
      <c r="P224" s="11"/>
      <c r="Q224" s="12"/>
      <c r="R224" s="13"/>
      <c r="T224" s="6"/>
      <c r="U224" s="7"/>
      <c r="V224" s="8"/>
      <c r="W224" s="9"/>
      <c r="Y224" s="10"/>
      <c r="Z224" s="11"/>
      <c r="AA224" s="12"/>
      <c r="AB224" s="13"/>
      <c r="AD224" s="6"/>
      <c r="AE224" s="7"/>
      <c r="AF224" s="8"/>
      <c r="AG224" s="9"/>
      <c r="AI224" s="10"/>
      <c r="AJ224" s="11"/>
      <c r="AK224" s="12"/>
      <c r="AL224" s="13"/>
      <c r="AN224" s="6"/>
      <c r="AO224" s="7"/>
      <c r="AP224" s="8"/>
      <c r="AQ224" s="9"/>
      <c r="AS224" s="10"/>
      <c r="AT224" s="11"/>
      <c r="AU224" s="12"/>
      <c r="AV224" s="13"/>
      <c r="AX224" s="6"/>
      <c r="AY224" s="7"/>
      <c r="AZ224" s="8"/>
      <c r="BA224" s="9"/>
      <c r="BC224" s="46">
        <f t="shared" si="32"/>
        <v>0</v>
      </c>
      <c r="BD224" s="47">
        <f>(SUM(BE224,'Run distances (Term 2)'!BI224,'Run distances (Term 3)'!BI223,'Run distances (Term 4)'!BI224))</f>
        <v>7.5</v>
      </c>
      <c r="BE224" s="47">
        <f t="shared" si="26"/>
        <v>0</v>
      </c>
    </row>
    <row r="225" spans="1:57" x14ac:dyDescent="0.25">
      <c r="A225" s="40" t="s">
        <v>423</v>
      </c>
      <c r="B225" s="40">
        <v>3</v>
      </c>
      <c r="C225" s="40" t="s">
        <v>66</v>
      </c>
      <c r="E225" s="10"/>
      <c r="F225" s="11"/>
      <c r="G225" s="12"/>
      <c r="H225" s="13"/>
      <c r="J225" s="6"/>
      <c r="K225" s="7"/>
      <c r="L225" s="8"/>
      <c r="M225" s="9"/>
      <c r="O225" s="10"/>
      <c r="P225" s="11"/>
      <c r="Q225" s="12"/>
      <c r="R225" s="13"/>
      <c r="T225" s="6"/>
      <c r="U225" s="7"/>
      <c r="V225" s="8"/>
      <c r="W225" s="9"/>
      <c r="Y225" s="10"/>
      <c r="Z225" s="11"/>
      <c r="AA225" s="12"/>
      <c r="AB225" s="13"/>
      <c r="AD225" s="6"/>
      <c r="AE225" s="7"/>
      <c r="AF225" s="8"/>
      <c r="AG225" s="9"/>
      <c r="AI225" s="10"/>
      <c r="AJ225" s="11"/>
      <c r="AK225" s="12"/>
      <c r="AL225" s="13"/>
      <c r="AN225" s="6"/>
      <c r="AO225" s="7"/>
      <c r="AP225" s="8"/>
      <c r="AQ225" s="9"/>
      <c r="AS225" s="10"/>
      <c r="AT225" s="11"/>
      <c r="AU225" s="12"/>
      <c r="AV225" s="13"/>
      <c r="AX225" s="6"/>
      <c r="AY225" s="7"/>
      <c r="AZ225" s="8"/>
      <c r="BA225" s="9"/>
      <c r="BC225" s="46">
        <f t="shared" si="32"/>
        <v>0</v>
      </c>
      <c r="BD225" s="47">
        <f>(SUM(BE225,'Run distances (Term 2)'!BI225,'Run distances (Term 3)'!BI224,'Run distances (Term 4)'!BI225))</f>
        <v>3.5999999999999996</v>
      </c>
      <c r="BE225" s="47">
        <f t="shared" si="26"/>
        <v>0</v>
      </c>
    </row>
    <row r="226" spans="1:57" x14ac:dyDescent="0.25">
      <c r="A226" s="40" t="s">
        <v>434</v>
      </c>
      <c r="B226" s="40"/>
      <c r="C226" s="40" t="s">
        <v>66</v>
      </c>
      <c r="E226" s="10"/>
      <c r="F226" s="11"/>
      <c r="G226" s="12"/>
      <c r="H226" s="13"/>
      <c r="J226" s="6"/>
      <c r="K226" s="7"/>
      <c r="L226" s="8"/>
      <c r="M226" s="9"/>
      <c r="O226" s="10"/>
      <c r="P226" s="11"/>
      <c r="Q226" s="12"/>
      <c r="R226" s="13"/>
      <c r="T226" s="6"/>
      <c r="U226" s="7"/>
      <c r="V226" s="8"/>
      <c r="W226" s="9"/>
      <c r="Y226" s="10"/>
      <c r="Z226" s="11"/>
      <c r="AA226" s="12"/>
      <c r="AB226" s="13"/>
      <c r="AD226" s="6"/>
      <c r="AE226" s="7"/>
      <c r="AF226" s="8"/>
      <c r="AG226" s="9"/>
      <c r="AI226" s="10"/>
      <c r="AJ226" s="11"/>
      <c r="AK226" s="12"/>
      <c r="AL226" s="13"/>
      <c r="AN226" s="6"/>
      <c r="AO226" s="7"/>
      <c r="AP226" s="8"/>
      <c r="AQ226" s="9"/>
      <c r="AS226" s="10"/>
      <c r="AT226" s="11"/>
      <c r="AU226" s="12"/>
      <c r="AV226" s="13"/>
      <c r="AX226" s="6"/>
      <c r="AY226" s="7"/>
      <c r="AZ226" s="8"/>
      <c r="BA226" s="9"/>
      <c r="BC226" s="46">
        <f t="shared" si="32"/>
        <v>0</v>
      </c>
      <c r="BD226" s="47">
        <f>(SUM(BE226,'Run distances (Term 2)'!BI226,'Run distances (Term 3)'!BI225,'Run distances (Term 4)'!BI226))</f>
        <v>2.1</v>
      </c>
      <c r="BE226" s="47">
        <f t="shared" si="26"/>
        <v>0</v>
      </c>
    </row>
    <row r="227" spans="1:57" x14ac:dyDescent="0.25">
      <c r="A227" s="40" t="s">
        <v>435</v>
      </c>
      <c r="B227" s="40"/>
      <c r="C227" s="40" t="s">
        <v>66</v>
      </c>
      <c r="E227" s="10"/>
      <c r="F227" s="11"/>
      <c r="G227" s="12"/>
      <c r="H227" s="13"/>
      <c r="J227" s="6"/>
      <c r="K227" s="7"/>
      <c r="L227" s="8"/>
      <c r="M227" s="9"/>
      <c r="O227" s="10"/>
      <c r="P227" s="11"/>
      <c r="Q227" s="12"/>
      <c r="R227" s="13"/>
      <c r="T227" s="6"/>
      <c r="U227" s="7"/>
      <c r="V227" s="8"/>
      <c r="W227" s="9"/>
      <c r="Y227" s="10"/>
      <c r="Z227" s="11"/>
      <c r="AA227" s="12"/>
      <c r="AB227" s="13"/>
      <c r="AD227" s="6"/>
      <c r="AE227" s="7"/>
      <c r="AF227" s="8"/>
      <c r="AG227" s="9"/>
      <c r="AI227" s="10"/>
      <c r="AJ227" s="11"/>
      <c r="AK227" s="12"/>
      <c r="AL227" s="13"/>
      <c r="AN227" s="6"/>
      <c r="AO227" s="7"/>
      <c r="AP227" s="8"/>
      <c r="AQ227" s="9"/>
      <c r="AS227" s="10"/>
      <c r="AT227" s="11"/>
      <c r="AU227" s="12"/>
      <c r="AV227" s="13"/>
      <c r="AX227" s="6"/>
      <c r="AY227" s="7"/>
      <c r="AZ227" s="8"/>
      <c r="BA227" s="9"/>
      <c r="BC227" s="46">
        <f t="shared" si="32"/>
        <v>0</v>
      </c>
      <c r="BD227" s="47">
        <f>(SUM(BE227,'Run distances (Term 2)'!BI227,'Run distances (Term 3)'!BI226,'Run distances (Term 4)'!BI227))</f>
        <v>3.9</v>
      </c>
      <c r="BE227" s="47">
        <f t="shared" si="26"/>
        <v>0</v>
      </c>
    </row>
    <row r="228" spans="1:57" x14ac:dyDescent="0.25">
      <c r="A228" s="40" t="s">
        <v>440</v>
      </c>
      <c r="B228" s="40"/>
      <c r="C228" s="40" t="s">
        <v>66</v>
      </c>
      <c r="E228" s="10"/>
      <c r="F228" s="11"/>
      <c r="G228" s="12"/>
      <c r="H228" s="13"/>
      <c r="J228" s="6"/>
      <c r="K228" s="7"/>
      <c r="L228" s="8"/>
      <c r="M228" s="9"/>
      <c r="O228" s="10"/>
      <c r="P228" s="11"/>
      <c r="Q228" s="12"/>
      <c r="R228" s="13"/>
      <c r="T228" s="6"/>
      <c r="U228" s="7"/>
      <c r="V228" s="8"/>
      <c r="W228" s="9"/>
      <c r="Y228" s="10"/>
      <c r="Z228" s="11"/>
      <c r="AA228" s="12"/>
      <c r="AB228" s="13"/>
      <c r="AD228" s="6"/>
      <c r="AE228" s="7"/>
      <c r="AF228" s="8"/>
      <c r="AG228" s="9"/>
      <c r="AI228" s="10"/>
      <c r="AJ228" s="11"/>
      <c r="AK228" s="12"/>
      <c r="AL228" s="13"/>
      <c r="AN228" s="6"/>
      <c r="AO228" s="7"/>
      <c r="AP228" s="8"/>
      <c r="AQ228" s="9"/>
      <c r="AS228" s="10"/>
      <c r="AT228" s="11"/>
      <c r="AU228" s="12"/>
      <c r="AV228" s="13"/>
      <c r="AX228" s="6"/>
      <c r="AY228" s="7"/>
      <c r="AZ228" s="8"/>
      <c r="BA228" s="9"/>
      <c r="BC228" s="46">
        <f t="shared" si="32"/>
        <v>0</v>
      </c>
      <c r="BD228" s="47">
        <f>(SUM(BE228,'Run distances (Term 2)'!BI228,'Run distances (Term 3)'!BI227,'Run distances (Term 4)'!BI228))</f>
        <v>0.3</v>
      </c>
      <c r="BE228" s="47">
        <f t="shared" si="26"/>
        <v>0</v>
      </c>
    </row>
    <row r="229" spans="1:57" x14ac:dyDescent="0.25">
      <c r="A229" s="40" t="s">
        <v>436</v>
      </c>
      <c r="B229" s="40"/>
      <c r="C229" s="40" t="s">
        <v>66</v>
      </c>
      <c r="E229" s="10"/>
      <c r="F229" s="11"/>
      <c r="G229" s="12"/>
      <c r="H229" s="13"/>
      <c r="J229" s="6"/>
      <c r="K229" s="7"/>
      <c r="L229" s="8"/>
      <c r="M229" s="9"/>
      <c r="O229" s="10"/>
      <c r="P229" s="11"/>
      <c r="Q229" s="12"/>
      <c r="R229" s="13"/>
      <c r="T229" s="6"/>
      <c r="U229" s="7"/>
      <c r="V229" s="8"/>
      <c r="W229" s="9"/>
      <c r="Y229" s="10"/>
      <c r="Z229" s="11"/>
      <c r="AA229" s="12"/>
      <c r="AB229" s="13"/>
      <c r="AD229" s="6"/>
      <c r="AE229" s="7"/>
      <c r="AF229" s="8"/>
      <c r="AG229" s="9"/>
      <c r="AI229" s="10"/>
      <c r="AJ229" s="11"/>
      <c r="AK229" s="12"/>
      <c r="AL229" s="13"/>
      <c r="AN229" s="6"/>
      <c r="AO229" s="7"/>
      <c r="AP229" s="8"/>
      <c r="AQ229" s="9"/>
      <c r="AS229" s="10"/>
      <c r="AT229" s="11"/>
      <c r="AU229" s="12"/>
      <c r="AV229" s="13"/>
      <c r="AX229" s="6"/>
      <c r="AY229" s="7"/>
      <c r="AZ229" s="8"/>
      <c r="BA229" s="9"/>
      <c r="BC229" s="46">
        <f t="shared" si="32"/>
        <v>0</v>
      </c>
      <c r="BD229" s="47">
        <f>(SUM(BE229,'Run distances (Term 2)'!BI229,'Run distances (Term 3)'!BI228,'Run distances (Term 4)'!BI229))</f>
        <v>3.9</v>
      </c>
      <c r="BE229" s="47">
        <f t="shared" si="26"/>
        <v>0</v>
      </c>
    </row>
    <row r="230" spans="1:57" x14ac:dyDescent="0.25">
      <c r="A230" s="40" t="s">
        <v>437</v>
      </c>
      <c r="B230" s="40"/>
      <c r="C230" s="40" t="s">
        <v>66</v>
      </c>
      <c r="E230" s="10"/>
      <c r="F230" s="11"/>
      <c r="G230" s="12"/>
      <c r="H230" s="13"/>
      <c r="J230" s="6"/>
      <c r="K230" s="7"/>
      <c r="L230" s="8"/>
      <c r="M230" s="9"/>
      <c r="O230" s="10"/>
      <c r="P230" s="11"/>
      <c r="Q230" s="12"/>
      <c r="R230" s="13"/>
      <c r="T230" s="6"/>
      <c r="U230" s="7"/>
      <c r="V230" s="8"/>
      <c r="W230" s="9"/>
      <c r="Y230" s="10"/>
      <c r="Z230" s="11"/>
      <c r="AA230" s="12"/>
      <c r="AB230" s="13"/>
      <c r="AD230" s="6"/>
      <c r="AE230" s="7"/>
      <c r="AF230" s="8"/>
      <c r="AG230" s="9"/>
      <c r="AI230" s="10"/>
      <c r="AJ230" s="11"/>
      <c r="AK230" s="12"/>
      <c r="AL230" s="13"/>
      <c r="AN230" s="6"/>
      <c r="AO230" s="7"/>
      <c r="AP230" s="8"/>
      <c r="AQ230" s="9"/>
      <c r="AS230" s="10"/>
      <c r="AT230" s="11"/>
      <c r="AU230" s="12"/>
      <c r="AV230" s="13"/>
      <c r="AX230" s="6"/>
      <c r="AY230" s="7"/>
      <c r="AZ230" s="8"/>
      <c r="BA230" s="9"/>
      <c r="BC230" s="46">
        <f t="shared" si="32"/>
        <v>0</v>
      </c>
      <c r="BD230" s="47">
        <f>(SUM(BE230,'Run distances (Term 2)'!BI230,'Run distances (Term 3)'!BI229,'Run distances (Term 4)'!BI230))</f>
        <v>3.3</v>
      </c>
      <c r="BE230" s="47">
        <f t="shared" si="26"/>
        <v>0</v>
      </c>
    </row>
    <row r="231" spans="1:57" x14ac:dyDescent="0.25">
      <c r="A231" s="40" t="s">
        <v>438</v>
      </c>
      <c r="B231" s="40"/>
      <c r="C231" s="40" t="s">
        <v>66</v>
      </c>
      <c r="E231" s="10"/>
      <c r="F231" s="11"/>
      <c r="G231" s="12"/>
      <c r="H231" s="13"/>
      <c r="J231" s="6"/>
      <c r="K231" s="7"/>
      <c r="L231" s="8"/>
      <c r="M231" s="9"/>
      <c r="O231" s="10"/>
      <c r="P231" s="11"/>
      <c r="Q231" s="12"/>
      <c r="R231" s="13"/>
      <c r="T231" s="6"/>
      <c r="U231" s="7"/>
      <c r="V231" s="8"/>
      <c r="W231" s="9"/>
      <c r="Y231" s="10"/>
      <c r="Z231" s="11"/>
      <c r="AA231" s="12"/>
      <c r="AB231" s="13"/>
      <c r="AD231" s="6"/>
      <c r="AE231" s="7"/>
      <c r="AF231" s="8"/>
      <c r="AG231" s="9"/>
      <c r="AI231" s="10"/>
      <c r="AJ231" s="11"/>
      <c r="AK231" s="12"/>
      <c r="AL231" s="13"/>
      <c r="AN231" s="6"/>
      <c r="AO231" s="7"/>
      <c r="AP231" s="8"/>
      <c r="AQ231" s="9"/>
      <c r="AS231" s="10"/>
      <c r="AT231" s="11"/>
      <c r="AU231" s="12"/>
      <c r="AV231" s="13"/>
      <c r="AX231" s="6"/>
      <c r="AY231" s="7"/>
      <c r="AZ231" s="8"/>
      <c r="BA231" s="9"/>
      <c r="BC231" s="46">
        <f t="shared" si="32"/>
        <v>0</v>
      </c>
      <c r="BD231" s="47">
        <f>(SUM(BE231,'Run distances (Term 2)'!BI231,'Run distances (Term 3)'!BI230,'Run distances (Term 4)'!BI231))</f>
        <v>0.3</v>
      </c>
      <c r="BE231" s="47">
        <f t="shared" si="26"/>
        <v>0</v>
      </c>
    </row>
    <row r="232" spans="1:57" x14ac:dyDescent="0.25">
      <c r="A232" s="40" t="s">
        <v>439</v>
      </c>
      <c r="B232" s="40"/>
      <c r="C232" s="40" t="s">
        <v>66</v>
      </c>
      <c r="E232" s="10"/>
      <c r="F232" s="11"/>
      <c r="G232" s="12"/>
      <c r="H232" s="13"/>
      <c r="J232" s="6"/>
      <c r="K232" s="7"/>
      <c r="L232" s="8"/>
      <c r="M232" s="9"/>
      <c r="O232" s="10"/>
      <c r="P232" s="11"/>
      <c r="Q232" s="12"/>
      <c r="R232" s="13"/>
      <c r="T232" s="6"/>
      <c r="U232" s="7"/>
      <c r="V232" s="8"/>
      <c r="W232" s="9"/>
      <c r="Y232" s="10"/>
      <c r="Z232" s="11"/>
      <c r="AA232" s="12"/>
      <c r="AB232" s="13"/>
      <c r="AD232" s="6"/>
      <c r="AE232" s="7"/>
      <c r="AF232" s="8"/>
      <c r="AG232" s="9"/>
      <c r="AI232" s="10"/>
      <c r="AJ232" s="11"/>
      <c r="AK232" s="12"/>
      <c r="AL232" s="13"/>
      <c r="AN232" s="6"/>
      <c r="AO232" s="7"/>
      <c r="AP232" s="8"/>
      <c r="AQ232" s="9"/>
      <c r="AS232" s="10"/>
      <c r="AT232" s="11"/>
      <c r="AU232" s="12"/>
      <c r="AV232" s="13"/>
      <c r="AX232" s="6"/>
      <c r="AY232" s="7"/>
      <c r="AZ232" s="8"/>
      <c r="BA232" s="9"/>
      <c r="BC232" s="46">
        <f t="shared" si="32"/>
        <v>0</v>
      </c>
      <c r="BD232" s="47">
        <f>(SUM(BE232,'Run distances (Term 2)'!BI232,'Run distances (Term 3)'!BI231,'Run distances (Term 4)'!BI232))</f>
        <v>1.7999999999999998</v>
      </c>
      <c r="BE232" s="47">
        <f t="shared" si="26"/>
        <v>0</v>
      </c>
    </row>
    <row r="233" spans="1:57" x14ac:dyDescent="0.25">
      <c r="A233" s="40" t="s">
        <v>441</v>
      </c>
      <c r="B233" s="40"/>
      <c r="C233" s="40" t="s">
        <v>66</v>
      </c>
      <c r="E233" s="10"/>
      <c r="F233" s="11"/>
      <c r="G233" s="12"/>
      <c r="H233" s="13"/>
      <c r="J233" s="6"/>
      <c r="K233" s="7"/>
      <c r="L233" s="8"/>
      <c r="M233" s="9"/>
      <c r="O233" s="10"/>
      <c r="P233" s="11"/>
      <c r="Q233" s="12"/>
      <c r="R233" s="13"/>
      <c r="T233" s="6"/>
      <c r="U233" s="7"/>
      <c r="V233" s="8"/>
      <c r="W233" s="9"/>
      <c r="Y233" s="10"/>
      <c r="Z233" s="11"/>
      <c r="AA233" s="12"/>
      <c r="AB233" s="13"/>
      <c r="AD233" s="6"/>
      <c r="AE233" s="7"/>
      <c r="AF233" s="8"/>
      <c r="AG233" s="9"/>
      <c r="AI233" s="10"/>
      <c r="AJ233" s="11"/>
      <c r="AK233" s="12"/>
      <c r="AL233" s="13"/>
      <c r="AN233" s="6"/>
      <c r="AO233" s="7"/>
      <c r="AP233" s="8"/>
      <c r="AQ233" s="9"/>
      <c r="AS233" s="10"/>
      <c r="AT233" s="11"/>
      <c r="AU233" s="12"/>
      <c r="AV233" s="13"/>
      <c r="AX233" s="6"/>
      <c r="AY233" s="7"/>
      <c r="AZ233" s="8"/>
      <c r="BA233" s="9"/>
      <c r="BC233" s="46">
        <f t="shared" si="32"/>
        <v>0</v>
      </c>
      <c r="BD233" s="47">
        <f>(SUM(BE233,'Run distances (Term 2)'!BI233,'Run distances (Term 3)'!BI232,'Run distances (Term 4)'!BI233))</f>
        <v>1.5</v>
      </c>
      <c r="BE233" s="47">
        <f t="shared" si="26"/>
        <v>0</v>
      </c>
    </row>
    <row r="234" spans="1:57" x14ac:dyDescent="0.25">
      <c r="A234" s="40" t="s">
        <v>216</v>
      </c>
      <c r="B234" s="40"/>
      <c r="C234" s="40" t="s">
        <v>66</v>
      </c>
      <c r="E234" s="10"/>
      <c r="F234" s="11"/>
      <c r="G234" s="12"/>
      <c r="H234" s="13"/>
      <c r="J234" s="6"/>
      <c r="K234" s="7"/>
      <c r="L234" s="8"/>
      <c r="M234" s="9"/>
      <c r="O234" s="10"/>
      <c r="P234" s="11"/>
      <c r="Q234" s="12"/>
      <c r="R234" s="13"/>
      <c r="T234" s="6"/>
      <c r="U234" s="7"/>
      <c r="V234" s="8"/>
      <c r="W234" s="9"/>
      <c r="Y234" s="10"/>
      <c r="Z234" s="11"/>
      <c r="AA234" s="12"/>
      <c r="AB234" s="13"/>
      <c r="AD234" s="6"/>
      <c r="AE234" s="7"/>
      <c r="AF234" s="8"/>
      <c r="AG234" s="9"/>
      <c r="AI234" s="10"/>
      <c r="AJ234" s="11"/>
      <c r="AK234" s="12"/>
      <c r="AL234" s="13"/>
      <c r="AN234" s="6"/>
      <c r="AO234" s="7"/>
      <c r="AP234" s="8"/>
      <c r="AQ234" s="9"/>
      <c r="AS234" s="10"/>
      <c r="AT234" s="11"/>
      <c r="AU234" s="12"/>
      <c r="AV234" s="13"/>
      <c r="AX234" s="6"/>
      <c r="AY234" s="7"/>
      <c r="AZ234" s="8"/>
      <c r="BA234" s="9"/>
      <c r="BC234" s="46">
        <f t="shared" si="32"/>
        <v>0</v>
      </c>
      <c r="BD234" s="47">
        <f>(SUM(BE234,'Run distances (Term 2)'!BI234,'Run distances (Term 3)'!BI233,'Run distances (Term 4)'!BI234))</f>
        <v>2.4</v>
      </c>
      <c r="BE234" s="47">
        <f t="shared" si="26"/>
        <v>0</v>
      </c>
    </row>
    <row r="235" spans="1:57" x14ac:dyDescent="0.25">
      <c r="A235" s="40" t="s">
        <v>408</v>
      </c>
      <c r="B235" s="40"/>
      <c r="C235" s="40" t="s">
        <v>66</v>
      </c>
      <c r="E235" s="10"/>
      <c r="F235" s="11"/>
      <c r="G235" s="12"/>
      <c r="H235" s="13"/>
      <c r="J235" s="6"/>
      <c r="K235" s="7"/>
      <c r="L235" s="8"/>
      <c r="M235" s="9"/>
      <c r="O235" s="10"/>
      <c r="P235" s="11"/>
      <c r="Q235" s="12"/>
      <c r="R235" s="13"/>
      <c r="T235" s="6"/>
      <c r="U235" s="7"/>
      <c r="V235" s="8"/>
      <c r="W235" s="9"/>
      <c r="Y235" s="10"/>
      <c r="Z235" s="11"/>
      <c r="AA235" s="12"/>
      <c r="AB235" s="13"/>
      <c r="AD235" s="6"/>
      <c r="AE235" s="7"/>
      <c r="AF235" s="8"/>
      <c r="AG235" s="9"/>
      <c r="AI235" s="10"/>
      <c r="AJ235" s="11"/>
      <c r="AK235" s="12"/>
      <c r="AL235" s="13"/>
      <c r="AN235" s="6"/>
      <c r="AO235" s="7"/>
      <c r="AP235" s="8"/>
      <c r="AQ235" s="9"/>
      <c r="AS235" s="10"/>
      <c r="AT235" s="11"/>
      <c r="AU235" s="12"/>
      <c r="AV235" s="13"/>
      <c r="AX235" s="6"/>
      <c r="AY235" s="7"/>
      <c r="AZ235" s="8"/>
      <c r="BA235" s="9">
        <v>7</v>
      </c>
      <c r="BC235" s="46">
        <f t="shared" ref="BC235:BC240" si="33">SUM(E235:BA235)</f>
        <v>7</v>
      </c>
      <c r="BD235" s="47">
        <f>(SUM(BE235,'Run distances (Term 2)'!BI235,'Run distances (Term 3)'!BI234,'Run distances (Term 4)'!BI235))</f>
        <v>4.5</v>
      </c>
      <c r="BE235" s="47">
        <f t="shared" ref="BE235:BE240" si="34">(SUM(E235:BB235)*$D$2)</f>
        <v>2.1</v>
      </c>
    </row>
    <row r="236" spans="1:57" x14ac:dyDescent="0.25">
      <c r="A236" s="40" t="s">
        <v>447</v>
      </c>
      <c r="B236" s="40"/>
      <c r="C236" s="40" t="s">
        <v>66</v>
      </c>
      <c r="E236" s="10"/>
      <c r="F236" s="11"/>
      <c r="G236" s="12"/>
      <c r="H236" s="13"/>
      <c r="J236" s="6"/>
      <c r="K236" s="7"/>
      <c r="L236" s="8"/>
      <c r="M236" s="9"/>
      <c r="O236" s="10"/>
      <c r="P236" s="11"/>
      <c r="Q236" s="12"/>
      <c r="R236" s="13"/>
      <c r="T236" s="6"/>
      <c r="U236" s="7"/>
      <c r="V236" s="8"/>
      <c r="W236" s="9"/>
      <c r="Y236" s="10"/>
      <c r="Z236" s="11"/>
      <c r="AA236" s="12"/>
      <c r="AB236" s="13"/>
      <c r="AD236" s="6"/>
      <c r="AE236" s="7"/>
      <c r="AF236" s="8"/>
      <c r="AG236" s="9"/>
      <c r="AI236" s="10"/>
      <c r="AJ236" s="11"/>
      <c r="AK236" s="12"/>
      <c r="AL236" s="13"/>
      <c r="AN236" s="6"/>
      <c r="AO236" s="7"/>
      <c r="AP236" s="8"/>
      <c r="AQ236" s="9"/>
      <c r="AS236" s="10"/>
      <c r="AT236" s="11"/>
      <c r="AU236" s="12"/>
      <c r="AV236" s="13"/>
      <c r="AX236" s="6"/>
      <c r="AY236" s="7"/>
      <c r="AZ236" s="8"/>
      <c r="BA236" s="9"/>
      <c r="BC236" s="46">
        <f t="shared" si="33"/>
        <v>0</v>
      </c>
      <c r="BD236" s="47">
        <f>(SUM(BE236,'Run distances (Term 2)'!BI236,'Run distances (Term 3)'!BI235,'Run distances (Term 4)'!BI236))</f>
        <v>0.6</v>
      </c>
      <c r="BE236" s="47">
        <f t="shared" si="34"/>
        <v>0</v>
      </c>
    </row>
    <row r="237" spans="1:57" x14ac:dyDescent="0.25">
      <c r="A237" s="40" t="s">
        <v>448</v>
      </c>
      <c r="B237" s="40"/>
      <c r="C237" s="40" t="s">
        <v>66</v>
      </c>
      <c r="E237" s="10"/>
      <c r="F237" s="11"/>
      <c r="G237" s="12"/>
      <c r="H237" s="13"/>
      <c r="J237" s="6"/>
      <c r="K237" s="7"/>
      <c r="L237" s="8"/>
      <c r="M237" s="9"/>
      <c r="O237" s="10"/>
      <c r="P237" s="11"/>
      <c r="Q237" s="12"/>
      <c r="R237" s="13"/>
      <c r="T237" s="6"/>
      <c r="U237" s="7"/>
      <c r="V237" s="8"/>
      <c r="W237" s="9"/>
      <c r="Y237" s="10"/>
      <c r="Z237" s="11"/>
      <c r="AA237" s="12"/>
      <c r="AB237" s="13"/>
      <c r="AD237" s="6"/>
      <c r="AE237" s="7"/>
      <c r="AF237" s="8"/>
      <c r="AG237" s="9"/>
      <c r="AI237" s="10"/>
      <c r="AJ237" s="11"/>
      <c r="AK237" s="12"/>
      <c r="AL237" s="13"/>
      <c r="AN237" s="6"/>
      <c r="AO237" s="7"/>
      <c r="AP237" s="8"/>
      <c r="AQ237" s="9"/>
      <c r="AS237" s="10"/>
      <c r="AT237" s="11"/>
      <c r="AU237" s="12"/>
      <c r="AV237" s="13"/>
      <c r="AX237" s="6"/>
      <c r="AY237" s="7"/>
      <c r="AZ237" s="8"/>
      <c r="BA237" s="9"/>
      <c r="BC237" s="46">
        <f t="shared" si="33"/>
        <v>0</v>
      </c>
      <c r="BD237" s="47">
        <f>(SUM(BE237,'Run distances (Term 2)'!BI237,'Run distances (Term 3)'!BI236,'Run distances (Term 4)'!BI237))</f>
        <v>1.2</v>
      </c>
      <c r="BE237" s="47">
        <f t="shared" si="34"/>
        <v>0</v>
      </c>
    </row>
    <row r="238" spans="1:57" x14ac:dyDescent="0.25">
      <c r="A238" s="40" t="s">
        <v>449</v>
      </c>
      <c r="B238" s="40"/>
      <c r="C238" s="40" t="s">
        <v>66</v>
      </c>
      <c r="E238" s="10"/>
      <c r="F238" s="11"/>
      <c r="G238" s="12"/>
      <c r="H238" s="13"/>
      <c r="J238" s="6"/>
      <c r="K238" s="7"/>
      <c r="L238" s="8"/>
      <c r="M238" s="9"/>
      <c r="O238" s="10"/>
      <c r="P238" s="11"/>
      <c r="Q238" s="12"/>
      <c r="R238" s="13"/>
      <c r="T238" s="6"/>
      <c r="U238" s="7"/>
      <c r="V238" s="8"/>
      <c r="W238" s="9"/>
      <c r="Y238" s="10"/>
      <c r="Z238" s="11"/>
      <c r="AA238" s="12"/>
      <c r="AB238" s="13"/>
      <c r="AD238" s="6"/>
      <c r="AE238" s="7"/>
      <c r="AF238" s="8"/>
      <c r="AG238" s="9"/>
      <c r="AI238" s="10"/>
      <c r="AJ238" s="11"/>
      <c r="AK238" s="12"/>
      <c r="AL238" s="13"/>
      <c r="AN238" s="6"/>
      <c r="AO238" s="7"/>
      <c r="AP238" s="8"/>
      <c r="AQ238" s="9"/>
      <c r="AS238" s="10"/>
      <c r="AT238" s="11"/>
      <c r="AU238" s="12"/>
      <c r="AV238" s="13"/>
      <c r="AX238" s="6"/>
      <c r="AY238" s="7"/>
      <c r="AZ238" s="8"/>
      <c r="BA238" s="9">
        <v>7</v>
      </c>
      <c r="BC238" s="46">
        <f t="shared" si="33"/>
        <v>7</v>
      </c>
      <c r="BD238" s="47">
        <f>(SUM(BE238,'Run distances (Term 2)'!BI238,'Run distances (Term 3)'!BI237,'Run distances (Term 4)'!BI238))</f>
        <v>5.4</v>
      </c>
      <c r="BE238" s="47">
        <f t="shared" si="34"/>
        <v>2.1</v>
      </c>
    </row>
    <row r="239" spans="1:57" x14ac:dyDescent="0.25">
      <c r="A239" s="40" t="s">
        <v>453</v>
      </c>
      <c r="B239" s="40"/>
      <c r="C239" s="40" t="s">
        <v>66</v>
      </c>
      <c r="E239" s="10"/>
      <c r="F239" s="11"/>
      <c r="G239" s="12"/>
      <c r="H239" s="13"/>
      <c r="J239" s="6"/>
      <c r="K239" s="7"/>
      <c r="L239" s="8"/>
      <c r="M239" s="9"/>
      <c r="O239" s="10"/>
      <c r="P239" s="11"/>
      <c r="Q239" s="12"/>
      <c r="R239" s="13"/>
      <c r="T239" s="6"/>
      <c r="U239" s="7"/>
      <c r="V239" s="8"/>
      <c r="W239" s="9"/>
      <c r="Y239" s="10"/>
      <c r="Z239" s="11"/>
      <c r="AA239" s="12"/>
      <c r="AB239" s="13"/>
      <c r="AD239" s="6"/>
      <c r="AE239" s="7"/>
      <c r="AF239" s="8"/>
      <c r="AG239" s="9"/>
      <c r="AI239" s="10"/>
      <c r="AJ239" s="11"/>
      <c r="AK239" s="12"/>
      <c r="AL239" s="13"/>
      <c r="AN239" s="6"/>
      <c r="AO239" s="7"/>
      <c r="AP239" s="8"/>
      <c r="AQ239" s="9"/>
      <c r="AS239" s="10"/>
      <c r="AT239" s="11"/>
      <c r="AU239" s="12"/>
      <c r="AV239" s="13"/>
      <c r="AX239" s="6"/>
      <c r="AY239" s="7"/>
      <c r="AZ239" s="8"/>
      <c r="BA239" s="9">
        <v>7</v>
      </c>
      <c r="BC239" s="46">
        <f t="shared" si="33"/>
        <v>7</v>
      </c>
      <c r="BD239" s="47">
        <f>(SUM(BE239,'Run distances (Term 2)'!BI239,'Run distances (Term 3)'!BI235,'Run distances (Term 4)'!BI236))</f>
        <v>2.7</v>
      </c>
      <c r="BE239" s="47">
        <f t="shared" si="34"/>
        <v>2.1</v>
      </c>
    </row>
    <row r="240" spans="1:57" x14ac:dyDescent="0.25">
      <c r="A240" s="40" t="s">
        <v>454</v>
      </c>
      <c r="B240" s="40"/>
      <c r="C240" s="40" t="s">
        <v>66</v>
      </c>
      <c r="E240" s="10"/>
      <c r="F240" s="11"/>
      <c r="G240" s="12"/>
      <c r="H240" s="13"/>
      <c r="J240" s="6"/>
      <c r="K240" s="7"/>
      <c r="L240" s="8"/>
      <c r="M240" s="9"/>
      <c r="O240" s="10"/>
      <c r="P240" s="11"/>
      <c r="Q240" s="12"/>
      <c r="R240" s="13"/>
      <c r="T240" s="6"/>
      <c r="U240" s="7"/>
      <c r="V240" s="8"/>
      <c r="W240" s="9"/>
      <c r="Y240" s="10"/>
      <c r="Z240" s="11"/>
      <c r="AA240" s="12"/>
      <c r="AB240" s="13"/>
      <c r="AD240" s="6"/>
      <c r="AE240" s="7"/>
      <c r="AF240" s="8"/>
      <c r="AG240" s="9"/>
      <c r="AI240" s="10"/>
      <c r="AJ240" s="11"/>
      <c r="AK240" s="12"/>
      <c r="AL240" s="13"/>
      <c r="AN240" s="6"/>
      <c r="AO240" s="7"/>
      <c r="AP240" s="8"/>
      <c r="AQ240" s="9"/>
      <c r="AS240" s="10"/>
      <c r="AT240" s="11"/>
      <c r="AU240" s="12"/>
      <c r="AV240" s="13"/>
      <c r="AX240" s="6"/>
      <c r="AY240" s="7"/>
      <c r="AZ240" s="8"/>
      <c r="BA240" s="9">
        <v>7</v>
      </c>
      <c r="BC240" s="46">
        <f t="shared" si="33"/>
        <v>7</v>
      </c>
      <c r="BD240" s="47">
        <f>(SUM(BE240,'Run distances (Term 2)'!BI240,'Run distances (Term 3)'!BI235,'Run distances (Term 4)'!BI236))</f>
        <v>2.7</v>
      </c>
      <c r="BE240" s="47">
        <f t="shared" si="34"/>
        <v>2.1</v>
      </c>
    </row>
    <row r="241" spans="1:57" x14ac:dyDescent="0.25">
      <c r="A241" s="40" t="s">
        <v>456</v>
      </c>
      <c r="B241" s="40"/>
      <c r="C241" s="40" t="s">
        <v>66</v>
      </c>
      <c r="E241" s="10"/>
      <c r="F241" s="11"/>
      <c r="G241" s="12"/>
      <c r="H241" s="13"/>
      <c r="J241" s="6"/>
      <c r="K241" s="7"/>
      <c r="L241" s="8"/>
      <c r="M241" s="9"/>
      <c r="O241" s="10"/>
      <c r="P241" s="11"/>
      <c r="Q241" s="12"/>
      <c r="R241" s="13"/>
      <c r="T241" s="6"/>
      <c r="U241" s="7"/>
      <c r="V241" s="8"/>
      <c r="W241" s="9"/>
      <c r="Y241" s="10"/>
      <c r="Z241" s="11"/>
      <c r="AA241" s="12"/>
      <c r="AB241" s="13"/>
      <c r="AD241" s="6"/>
      <c r="AE241" s="7"/>
      <c r="AF241" s="8"/>
      <c r="AG241" s="9"/>
      <c r="AI241" s="10"/>
      <c r="AJ241" s="11"/>
      <c r="AK241" s="12"/>
      <c r="AL241" s="13"/>
      <c r="AN241" s="6"/>
      <c r="AO241" s="7"/>
      <c r="AP241" s="8"/>
      <c r="AQ241" s="9"/>
      <c r="AS241" s="10"/>
      <c r="AT241" s="11"/>
      <c r="AU241" s="12"/>
      <c r="AV241" s="13"/>
      <c r="AX241" s="6"/>
      <c r="AY241" s="7"/>
      <c r="AZ241" s="8"/>
      <c r="BA241" s="9">
        <v>7</v>
      </c>
      <c r="BC241" s="46">
        <f t="shared" si="32"/>
        <v>7</v>
      </c>
      <c r="BD241" s="47">
        <f>(SUM(BE241,'Run distances (Term 2)'!BI241,'Run distances (Term 3)'!BI236,'Run distances (Term 4)'!BI237))</f>
        <v>3.3</v>
      </c>
      <c r="BE241" s="47">
        <f t="shared" si="26"/>
        <v>2.1</v>
      </c>
    </row>
  </sheetData>
  <sortState xmlns:xlrd2="http://schemas.microsoft.com/office/spreadsheetml/2017/richdata2" ref="A163:D214">
    <sortCondition ref="D163:D214"/>
    <sortCondition ref="B163:B21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E40C-0490-44B1-823E-D5C5232BF4FE}">
  <dimension ref="A1:BI241"/>
  <sheetViews>
    <sheetView topLeftCell="A144" workbookViewId="0">
      <pane xSplit="1" topLeftCell="AI1" activePane="topRight" state="frozen"/>
      <selection pane="topRight" activeCell="A160" sqref="A160"/>
    </sheetView>
  </sheetViews>
  <sheetFormatPr defaultRowHeight="15" x14ac:dyDescent="0.25"/>
  <cols>
    <col min="1" max="1" width="25.85546875" customWidth="1"/>
    <col min="2" max="2" width="19.140625" bestFit="1" customWidth="1"/>
    <col min="3" max="3" width="8.140625" bestFit="1" customWidth="1"/>
    <col min="4" max="4" width="10.42578125" bestFit="1" customWidth="1"/>
    <col min="9" max="9" width="1.7109375" style="4" customWidth="1"/>
    <col min="14" max="14" width="1.85546875" style="4" customWidth="1"/>
    <col min="19" max="19" width="1.85546875" style="4" customWidth="1"/>
    <col min="24" max="24" width="2.140625" style="4" customWidth="1"/>
    <col min="29" max="29" width="2" style="4" customWidth="1"/>
    <col min="34" max="34" width="1.5703125" style="4" customWidth="1"/>
    <col min="39" max="39" width="2" style="4" customWidth="1"/>
    <col min="44" max="44" width="1.42578125" style="4" customWidth="1"/>
    <col min="49" max="49" width="1.7109375" style="4" customWidth="1"/>
    <col min="54" max="54" width="1.85546875" style="4" customWidth="1"/>
    <col min="55" max="55" width="8.140625" style="46" bestFit="1" customWidth="1"/>
    <col min="56" max="56" width="10.5703125" style="47" bestFit="1" customWidth="1"/>
    <col min="60" max="60" width="14.140625" bestFit="1" customWidth="1"/>
    <col min="61" max="61" width="22.140625" bestFit="1" customWidth="1"/>
  </cols>
  <sheetData>
    <row r="1" spans="1:61" ht="23.25" x14ac:dyDescent="0.35">
      <c r="A1" s="3" t="s">
        <v>80</v>
      </c>
    </row>
    <row r="2" spans="1:61" x14ac:dyDescent="0.25">
      <c r="B2" s="2" t="s">
        <v>13</v>
      </c>
      <c r="D2" s="2">
        <v>0.3</v>
      </c>
      <c r="F2" s="2"/>
      <c r="G2" s="2"/>
      <c r="H2" s="2"/>
      <c r="I2" s="5"/>
      <c r="K2" s="2"/>
      <c r="L2" s="2"/>
      <c r="M2" s="2"/>
      <c r="N2" s="5"/>
      <c r="P2" s="2"/>
      <c r="Q2" s="2"/>
    </row>
    <row r="3" spans="1:61" x14ac:dyDescent="0.25">
      <c r="C3" s="1"/>
      <c r="E3" s="16" t="s">
        <v>339</v>
      </c>
      <c r="F3" s="16"/>
      <c r="G3" s="16"/>
      <c r="H3" s="16"/>
      <c r="J3" s="14" t="s">
        <v>3</v>
      </c>
      <c r="K3" s="14"/>
      <c r="L3" s="14"/>
      <c r="M3" s="14"/>
      <c r="N3" s="15"/>
      <c r="O3" s="16" t="s">
        <v>4</v>
      </c>
      <c r="P3" s="16"/>
      <c r="Q3" s="16"/>
      <c r="R3" s="16"/>
      <c r="S3" s="15"/>
      <c r="T3" s="14" t="s">
        <v>5</v>
      </c>
      <c r="U3" s="14"/>
      <c r="V3" s="14"/>
      <c r="W3" s="14"/>
      <c r="X3" s="15"/>
      <c r="Y3" s="16" t="s">
        <v>6</v>
      </c>
      <c r="Z3" s="16"/>
      <c r="AA3" s="16"/>
      <c r="AB3" s="16"/>
      <c r="AC3" s="15"/>
      <c r="AD3" s="14" t="s">
        <v>7</v>
      </c>
      <c r="AE3" s="14"/>
      <c r="AF3" s="14"/>
      <c r="AG3" s="14"/>
      <c r="AH3" s="15"/>
      <c r="AI3" s="16" t="s">
        <v>8</v>
      </c>
      <c r="AJ3" s="16"/>
      <c r="AK3" s="16"/>
      <c r="AL3" s="16"/>
      <c r="AM3" s="15"/>
      <c r="AN3" s="14" t="s">
        <v>9</v>
      </c>
      <c r="AO3" s="14"/>
      <c r="AP3" s="14"/>
      <c r="AQ3" s="14"/>
      <c r="AR3" s="15"/>
      <c r="AS3" s="16" t="s">
        <v>10</v>
      </c>
      <c r="AT3" s="16"/>
      <c r="AU3" s="16"/>
      <c r="AV3" s="16"/>
      <c r="AW3" s="15"/>
      <c r="AX3" s="14" t="s">
        <v>11</v>
      </c>
      <c r="AY3" s="14"/>
      <c r="AZ3" s="14"/>
      <c r="BA3" s="14"/>
      <c r="BB3" s="15"/>
      <c r="BC3" s="16" t="s">
        <v>12</v>
      </c>
      <c r="BD3" s="16"/>
      <c r="BE3" s="16"/>
      <c r="BF3" s="16"/>
      <c r="BG3" s="15"/>
      <c r="BH3" s="48"/>
      <c r="BI3" s="47"/>
    </row>
    <row r="4" spans="1:61" x14ac:dyDescent="0.25">
      <c r="A4" t="s">
        <v>0</v>
      </c>
      <c r="B4" t="s">
        <v>68</v>
      </c>
      <c r="C4" t="s">
        <v>1</v>
      </c>
      <c r="D4" t="s">
        <v>2</v>
      </c>
      <c r="E4" s="21" t="s">
        <v>81</v>
      </c>
      <c r="F4" s="22" t="s">
        <v>82</v>
      </c>
      <c r="G4" s="23" t="s">
        <v>83</v>
      </c>
      <c r="H4" s="24" t="s">
        <v>84</v>
      </c>
      <c r="J4" s="17" t="s">
        <v>81</v>
      </c>
      <c r="K4" s="18" t="s">
        <v>82</v>
      </c>
      <c r="L4" s="19" t="s">
        <v>83</v>
      </c>
      <c r="M4" s="20" t="s">
        <v>84</v>
      </c>
      <c r="N4" s="15"/>
      <c r="O4" s="21" t="s">
        <v>81</v>
      </c>
      <c r="P4" s="22" t="s">
        <v>82</v>
      </c>
      <c r="Q4" s="23" t="s">
        <v>83</v>
      </c>
      <c r="R4" s="24" t="s">
        <v>84</v>
      </c>
      <c r="S4" s="15"/>
      <c r="T4" s="17" t="s">
        <v>81</v>
      </c>
      <c r="U4" s="18" t="s">
        <v>82</v>
      </c>
      <c r="V4" s="19" t="s">
        <v>83</v>
      </c>
      <c r="W4" s="20" t="s">
        <v>84</v>
      </c>
      <c r="X4" s="15"/>
      <c r="Y4" s="21" t="s">
        <v>81</v>
      </c>
      <c r="Z4" s="22" t="s">
        <v>82</v>
      </c>
      <c r="AA4" s="23" t="s">
        <v>83</v>
      </c>
      <c r="AB4" s="24" t="s">
        <v>84</v>
      </c>
      <c r="AC4" s="15"/>
      <c r="AD4" s="17" t="s">
        <v>81</v>
      </c>
      <c r="AE4" s="18" t="s">
        <v>82</v>
      </c>
      <c r="AF4" s="19" t="s">
        <v>83</v>
      </c>
      <c r="AG4" s="20" t="s">
        <v>84</v>
      </c>
      <c r="AH4" s="15"/>
      <c r="AI4" s="21" t="s">
        <v>81</v>
      </c>
      <c r="AJ4" s="22" t="s">
        <v>82</v>
      </c>
      <c r="AK4" s="23" t="s">
        <v>83</v>
      </c>
      <c r="AL4" s="24" t="s">
        <v>84</v>
      </c>
      <c r="AM4" s="15"/>
      <c r="AN4" s="17" t="s">
        <v>81</v>
      </c>
      <c r="AO4" s="18" t="s">
        <v>82</v>
      </c>
      <c r="AP4" s="19" t="s">
        <v>83</v>
      </c>
      <c r="AQ4" s="20" t="s">
        <v>84</v>
      </c>
      <c r="AR4" s="15"/>
      <c r="AS4" s="21" t="s">
        <v>81</v>
      </c>
      <c r="AT4" s="22" t="s">
        <v>82</v>
      </c>
      <c r="AU4" s="23" t="s">
        <v>83</v>
      </c>
      <c r="AV4" s="24" t="s">
        <v>84</v>
      </c>
      <c r="AW4" s="15"/>
      <c r="AX4" s="17" t="s">
        <v>81</v>
      </c>
      <c r="AY4" s="18" t="s">
        <v>82</v>
      </c>
      <c r="AZ4" s="19" t="s">
        <v>83</v>
      </c>
      <c r="BA4" s="20" t="s">
        <v>84</v>
      </c>
      <c r="BB4" s="15"/>
      <c r="BC4" s="21" t="s">
        <v>81</v>
      </c>
      <c r="BD4" s="22" t="s">
        <v>82</v>
      </c>
      <c r="BE4" s="23" t="s">
        <v>83</v>
      </c>
      <c r="BF4" s="24" t="s">
        <v>84</v>
      </c>
      <c r="BG4" s="15"/>
      <c r="BH4" s="48" t="s">
        <v>167</v>
      </c>
      <c r="BI4" s="49" t="s">
        <v>168</v>
      </c>
    </row>
    <row r="5" spans="1:61" x14ac:dyDescent="0.25">
      <c r="A5" s="44" t="s">
        <v>228</v>
      </c>
      <c r="B5" s="45">
        <v>1</v>
      </c>
      <c r="C5" s="44" t="s">
        <v>49</v>
      </c>
      <c r="D5" t="s">
        <v>52</v>
      </c>
      <c r="E5" s="6"/>
      <c r="F5" s="7">
        <v>1</v>
      </c>
      <c r="G5" s="8"/>
      <c r="H5" s="9"/>
      <c r="J5" s="10"/>
      <c r="K5" s="11"/>
      <c r="L5" s="12"/>
      <c r="M5" s="13"/>
      <c r="O5" s="6"/>
      <c r="P5" s="7"/>
      <c r="Q5" s="8"/>
      <c r="R5" s="9"/>
      <c r="T5" s="10"/>
      <c r="U5" s="11"/>
      <c r="V5" s="12"/>
      <c r="W5" s="13"/>
      <c r="Y5" s="6"/>
      <c r="Z5" s="7"/>
      <c r="AA5" s="8"/>
      <c r="AB5" s="9"/>
      <c r="AD5" s="10"/>
      <c r="AE5" s="11"/>
      <c r="AF5" s="12"/>
      <c r="AG5" s="13"/>
      <c r="AI5" s="6"/>
      <c r="AJ5" s="7"/>
      <c r="AK5" s="8"/>
      <c r="AL5" s="9">
        <v>2</v>
      </c>
      <c r="AN5" s="10"/>
      <c r="AO5" s="11"/>
      <c r="AP5" s="12"/>
      <c r="AQ5" s="13"/>
      <c r="AS5" s="6"/>
      <c r="AT5" s="7"/>
      <c r="AU5" s="8"/>
      <c r="AV5" s="9"/>
      <c r="AX5" s="10"/>
      <c r="AY5" s="11"/>
      <c r="AZ5" s="12"/>
      <c r="BA5" s="13"/>
      <c r="BC5" s="6"/>
      <c r="BD5" s="7"/>
      <c r="BE5" s="8"/>
      <c r="BF5" s="9"/>
      <c r="BG5" s="4"/>
      <c r="BH5" s="46">
        <f>SUM(E5:BF5)</f>
        <v>3</v>
      </c>
      <c r="BI5" s="47">
        <f>(SUM(E5:BG5)*$D$2)</f>
        <v>0.89999999999999991</v>
      </c>
    </row>
    <row r="6" spans="1:61" x14ac:dyDescent="0.25">
      <c r="A6" s="44" t="s">
        <v>345</v>
      </c>
      <c r="B6" s="45">
        <v>1</v>
      </c>
      <c r="C6" s="44" t="s">
        <v>49</v>
      </c>
      <c r="D6" t="s">
        <v>355</v>
      </c>
      <c r="E6" s="6"/>
      <c r="F6" s="7"/>
      <c r="G6" s="8"/>
      <c r="H6" s="9"/>
      <c r="J6" s="10"/>
      <c r="K6" s="11"/>
      <c r="L6" s="12"/>
      <c r="M6" s="13"/>
      <c r="O6" s="6"/>
      <c r="P6" s="7"/>
      <c r="Q6" s="8"/>
      <c r="R6" s="9"/>
      <c r="T6" s="10"/>
      <c r="U6" s="11"/>
      <c r="V6" s="12"/>
      <c r="W6" s="13"/>
      <c r="Y6" s="6"/>
      <c r="Z6" s="7"/>
      <c r="AA6" s="8"/>
      <c r="AB6" s="9"/>
      <c r="AD6" s="10"/>
      <c r="AE6" s="11"/>
      <c r="AF6" s="12"/>
      <c r="AG6" s="13"/>
      <c r="AI6" s="6"/>
      <c r="AJ6" s="7"/>
      <c r="AK6" s="8"/>
      <c r="AL6" s="9"/>
      <c r="AN6" s="10"/>
      <c r="AO6" s="11"/>
      <c r="AP6" s="12"/>
      <c r="AQ6" s="13"/>
      <c r="AS6" s="6"/>
      <c r="AT6" s="7"/>
      <c r="AU6" s="8"/>
      <c r="AV6" s="9"/>
      <c r="AX6" s="10"/>
      <c r="AY6" s="11"/>
      <c r="AZ6" s="12"/>
      <c r="BA6" s="13"/>
      <c r="BC6" s="6"/>
      <c r="BD6" s="7"/>
      <c r="BE6" s="8"/>
      <c r="BF6" s="9"/>
      <c r="BG6" s="4"/>
      <c r="BH6" s="46">
        <f t="shared" ref="BH6:BH18" si="0">SUM(E6:BF6)</f>
        <v>0</v>
      </c>
      <c r="BI6" s="47">
        <f t="shared" ref="BI6:BI19" si="1">(SUM(E6:BG6)*$D$2)</f>
        <v>0</v>
      </c>
    </row>
    <row r="7" spans="1:61" x14ac:dyDescent="0.25">
      <c r="A7" s="44" t="s">
        <v>354</v>
      </c>
      <c r="B7" s="45">
        <v>1</v>
      </c>
      <c r="C7" s="44" t="s">
        <v>49</v>
      </c>
      <c r="D7" t="s">
        <v>355</v>
      </c>
      <c r="E7" s="6"/>
      <c r="F7" s="7">
        <v>1</v>
      </c>
      <c r="G7" s="8"/>
      <c r="H7" s="9"/>
      <c r="J7" s="10"/>
      <c r="K7" s="11"/>
      <c r="L7" s="12"/>
      <c r="M7" s="13"/>
      <c r="O7" s="6"/>
      <c r="P7" s="7"/>
      <c r="Q7" s="8"/>
      <c r="R7" s="9"/>
      <c r="T7" s="10"/>
      <c r="U7" s="11"/>
      <c r="V7" s="12"/>
      <c r="W7" s="13"/>
      <c r="Y7" s="6"/>
      <c r="Z7" s="7"/>
      <c r="AA7" s="8"/>
      <c r="AB7" s="9"/>
      <c r="AD7" s="10"/>
      <c r="AE7" s="11"/>
      <c r="AF7" s="12"/>
      <c r="AG7" s="13"/>
      <c r="AI7" s="6"/>
      <c r="AJ7" s="7"/>
      <c r="AK7" s="8"/>
      <c r="AL7" s="9"/>
      <c r="AN7" s="10"/>
      <c r="AO7" s="11"/>
      <c r="AP7" s="12"/>
      <c r="AQ7" s="13"/>
      <c r="AS7" s="6"/>
      <c r="AT7" s="7"/>
      <c r="AU7" s="8"/>
      <c r="AV7" s="9"/>
      <c r="AX7" s="10"/>
      <c r="AY7" s="11"/>
      <c r="AZ7" s="12"/>
      <c r="BA7" s="13"/>
      <c r="BC7" s="6"/>
      <c r="BD7" s="7"/>
      <c r="BE7" s="8"/>
      <c r="BF7" s="9"/>
      <c r="BG7" s="4"/>
      <c r="BH7" s="46">
        <f t="shared" si="0"/>
        <v>1</v>
      </c>
      <c r="BI7" s="47">
        <f t="shared" si="1"/>
        <v>0.3</v>
      </c>
    </row>
    <row r="8" spans="1:61" x14ac:dyDescent="0.25">
      <c r="A8" s="44" t="s">
        <v>356</v>
      </c>
      <c r="B8" s="45">
        <v>1</v>
      </c>
      <c r="C8" s="44" t="s">
        <v>49</v>
      </c>
      <c r="D8" t="s">
        <v>355</v>
      </c>
      <c r="E8" s="6"/>
      <c r="F8" s="7">
        <v>1</v>
      </c>
      <c r="G8" s="8"/>
      <c r="H8" s="9"/>
      <c r="J8" s="10"/>
      <c r="K8" s="11"/>
      <c r="L8" s="12"/>
      <c r="M8" s="13"/>
      <c r="O8" s="6"/>
      <c r="P8" s="7"/>
      <c r="Q8" s="8"/>
      <c r="R8" s="9"/>
      <c r="T8" s="10"/>
      <c r="U8" s="11"/>
      <c r="V8" s="12"/>
      <c r="W8" s="13"/>
      <c r="Y8" s="6"/>
      <c r="Z8" s="7"/>
      <c r="AA8" s="8"/>
      <c r="AB8" s="9"/>
      <c r="AD8" s="10"/>
      <c r="AE8" s="11"/>
      <c r="AF8" s="12"/>
      <c r="AG8" s="13"/>
      <c r="AI8" s="6"/>
      <c r="AJ8" s="7"/>
      <c r="AK8" s="8"/>
      <c r="AL8" s="9"/>
      <c r="AN8" s="10"/>
      <c r="AO8" s="11"/>
      <c r="AP8" s="12"/>
      <c r="AQ8" s="13"/>
      <c r="AS8" s="6"/>
      <c r="AT8" s="7"/>
      <c r="AU8" s="8"/>
      <c r="AV8" s="9"/>
      <c r="AX8" s="10"/>
      <c r="AY8" s="11"/>
      <c r="AZ8" s="12"/>
      <c r="BA8" s="13"/>
      <c r="BC8" s="6"/>
      <c r="BD8" s="7"/>
      <c r="BE8" s="8"/>
      <c r="BF8" s="9"/>
      <c r="BG8" s="4"/>
      <c r="BH8" s="46">
        <f t="shared" si="0"/>
        <v>1</v>
      </c>
      <c r="BI8" s="47">
        <f t="shared" si="1"/>
        <v>0.3</v>
      </c>
    </row>
    <row r="9" spans="1:61" x14ac:dyDescent="0.25">
      <c r="A9" s="44" t="s">
        <v>344</v>
      </c>
      <c r="B9" s="45">
        <v>1</v>
      </c>
      <c r="C9" s="44" t="s">
        <v>49</v>
      </c>
      <c r="D9" t="s">
        <v>355</v>
      </c>
      <c r="E9" s="6"/>
      <c r="F9" s="7">
        <v>2</v>
      </c>
      <c r="G9" s="8"/>
      <c r="H9" s="9"/>
      <c r="J9" s="10"/>
      <c r="K9" s="11"/>
      <c r="L9" s="12"/>
      <c r="M9" s="13"/>
      <c r="O9" s="6"/>
      <c r="P9" s="7"/>
      <c r="Q9" s="8"/>
      <c r="R9" s="9"/>
      <c r="T9" s="10"/>
      <c r="U9" s="11"/>
      <c r="V9" s="12"/>
      <c r="W9" s="13"/>
      <c r="Y9" s="6"/>
      <c r="Z9" s="7"/>
      <c r="AA9" s="8"/>
      <c r="AB9" s="9"/>
      <c r="AD9" s="10"/>
      <c r="AE9" s="11"/>
      <c r="AF9" s="12"/>
      <c r="AG9" s="13"/>
      <c r="AI9" s="6"/>
      <c r="AJ9" s="7"/>
      <c r="AK9" s="8"/>
      <c r="AL9" s="9"/>
      <c r="AN9" s="10"/>
      <c r="AO9" s="11"/>
      <c r="AP9" s="12"/>
      <c r="AQ9" s="13"/>
      <c r="AS9" s="6"/>
      <c r="AT9" s="7"/>
      <c r="AU9" s="8"/>
      <c r="AV9" s="9"/>
      <c r="AX9" s="10"/>
      <c r="AY9" s="11"/>
      <c r="AZ9" s="12"/>
      <c r="BA9" s="13"/>
      <c r="BC9" s="6"/>
      <c r="BD9" s="7"/>
      <c r="BE9" s="8"/>
      <c r="BF9" s="9"/>
      <c r="BG9" s="4"/>
      <c r="BH9" s="46">
        <f t="shared" si="0"/>
        <v>2</v>
      </c>
      <c r="BI9" s="47">
        <f t="shared" si="1"/>
        <v>0.6</v>
      </c>
    </row>
    <row r="10" spans="1:61" x14ac:dyDescent="0.25">
      <c r="A10" s="44" t="s">
        <v>229</v>
      </c>
      <c r="B10" s="44">
        <v>2</v>
      </c>
      <c r="C10" s="44" t="s">
        <v>49</v>
      </c>
      <c r="D10" t="s">
        <v>52</v>
      </c>
      <c r="E10" s="6"/>
      <c r="F10" s="7">
        <v>2</v>
      </c>
      <c r="G10" s="8"/>
      <c r="H10" s="9"/>
      <c r="J10" s="10"/>
      <c r="K10" s="11"/>
      <c r="L10" s="12"/>
      <c r="M10" s="13">
        <v>1</v>
      </c>
      <c r="O10" s="6"/>
      <c r="P10" s="7"/>
      <c r="Q10" s="8"/>
      <c r="R10" s="9"/>
      <c r="T10" s="10"/>
      <c r="U10" s="11"/>
      <c r="V10" s="12"/>
      <c r="W10" s="13"/>
      <c r="Y10" s="6"/>
      <c r="Z10" s="7"/>
      <c r="AA10" s="8"/>
      <c r="AB10" s="9"/>
      <c r="AD10" s="10"/>
      <c r="AE10" s="11"/>
      <c r="AF10" s="12"/>
      <c r="AG10" s="13"/>
      <c r="AI10" s="6"/>
      <c r="AJ10" s="7"/>
      <c r="AK10" s="8"/>
      <c r="AL10" s="9">
        <v>1</v>
      </c>
      <c r="AN10" s="10"/>
      <c r="AO10" s="11"/>
      <c r="AP10" s="12"/>
      <c r="AQ10" s="13"/>
      <c r="AS10" s="6"/>
      <c r="AT10" s="7"/>
      <c r="AU10" s="8"/>
      <c r="AV10" s="9"/>
      <c r="AX10" s="10"/>
      <c r="AY10" s="11"/>
      <c r="AZ10" s="12"/>
      <c r="BA10" s="13"/>
      <c r="BC10" s="6"/>
      <c r="BD10" s="7"/>
      <c r="BE10" s="8"/>
      <c r="BF10" s="9"/>
      <c r="BG10" s="4"/>
      <c r="BH10" s="46">
        <f t="shared" si="0"/>
        <v>4</v>
      </c>
      <c r="BI10" s="47">
        <f t="shared" si="1"/>
        <v>1.2</v>
      </c>
    </row>
    <row r="11" spans="1:61" x14ac:dyDescent="0.25">
      <c r="A11" s="44" t="s">
        <v>230</v>
      </c>
      <c r="B11" s="45">
        <v>2</v>
      </c>
      <c r="C11" s="44" t="s">
        <v>49</v>
      </c>
      <c r="D11" t="s">
        <v>52</v>
      </c>
      <c r="E11" s="6"/>
      <c r="F11" s="7"/>
      <c r="G11" s="8"/>
      <c r="H11" s="9"/>
      <c r="J11" s="10"/>
      <c r="K11" s="11">
        <v>1</v>
      </c>
      <c r="L11" s="12"/>
      <c r="M11" s="13"/>
      <c r="O11" s="6"/>
      <c r="P11" s="7"/>
      <c r="Q11" s="8"/>
      <c r="R11" s="9"/>
      <c r="T11" s="10"/>
      <c r="U11" s="11"/>
      <c r="V11" s="12"/>
      <c r="W11" s="13"/>
      <c r="Y11" s="6"/>
      <c r="Z11" s="7"/>
      <c r="AA11" s="8"/>
      <c r="AB11" s="9"/>
      <c r="AD11" s="10"/>
      <c r="AE11" s="11"/>
      <c r="AF11" s="12"/>
      <c r="AG11" s="13"/>
      <c r="AI11" s="6"/>
      <c r="AJ11" s="7"/>
      <c r="AK11" s="8"/>
      <c r="AL11" s="9"/>
      <c r="AN11" s="10"/>
      <c r="AO11" s="11"/>
      <c r="AP11" s="12"/>
      <c r="AQ11" s="13"/>
      <c r="AS11" s="6"/>
      <c r="AT11" s="7"/>
      <c r="AU11" s="8"/>
      <c r="AV11" s="9"/>
      <c r="AX11" s="10"/>
      <c r="AY11" s="11"/>
      <c r="AZ11" s="12"/>
      <c r="BA11" s="13"/>
      <c r="BC11" s="6"/>
      <c r="BD11" s="7"/>
      <c r="BE11" s="8"/>
      <c r="BF11" s="9"/>
      <c r="BG11" s="4"/>
      <c r="BH11" s="46">
        <f t="shared" si="0"/>
        <v>1</v>
      </c>
      <c r="BI11" s="47">
        <f t="shared" si="1"/>
        <v>0.3</v>
      </c>
    </row>
    <row r="12" spans="1:61" x14ac:dyDescent="0.25">
      <c r="A12" s="44" t="s">
        <v>231</v>
      </c>
      <c r="B12" s="45">
        <v>2</v>
      </c>
      <c r="C12" s="44" t="s">
        <v>49</v>
      </c>
      <c r="D12" t="s">
        <v>52</v>
      </c>
      <c r="E12" s="6"/>
      <c r="F12" s="7"/>
      <c r="G12" s="8"/>
      <c r="H12" s="9"/>
      <c r="J12" s="10"/>
      <c r="K12" s="11"/>
      <c r="L12" s="12"/>
      <c r="M12" s="13"/>
      <c r="O12" s="6"/>
      <c r="P12" s="7"/>
      <c r="Q12" s="8"/>
      <c r="R12" s="9"/>
      <c r="T12" s="10"/>
      <c r="U12" s="11"/>
      <c r="V12" s="12"/>
      <c r="W12" s="13"/>
      <c r="Y12" s="6"/>
      <c r="Z12" s="7"/>
      <c r="AA12" s="8"/>
      <c r="AB12" s="9"/>
      <c r="AD12" s="10"/>
      <c r="AE12" s="11"/>
      <c r="AF12" s="12"/>
      <c r="AG12" s="13"/>
      <c r="AI12" s="6"/>
      <c r="AJ12" s="7"/>
      <c r="AK12" s="8"/>
      <c r="AL12" s="9"/>
      <c r="AN12" s="10"/>
      <c r="AO12" s="11"/>
      <c r="AP12" s="12"/>
      <c r="AQ12" s="13"/>
      <c r="AS12" s="6"/>
      <c r="AT12" s="7"/>
      <c r="AU12" s="8"/>
      <c r="AV12" s="9"/>
      <c r="AX12" s="10"/>
      <c r="AY12" s="11"/>
      <c r="AZ12" s="12"/>
      <c r="BA12" s="13"/>
      <c r="BC12" s="6"/>
      <c r="BD12" s="7"/>
      <c r="BE12" s="8"/>
      <c r="BF12" s="9"/>
      <c r="BG12" s="4"/>
      <c r="BH12" s="46">
        <f t="shared" si="0"/>
        <v>0</v>
      </c>
      <c r="BI12" s="47">
        <f t="shared" si="1"/>
        <v>0</v>
      </c>
    </row>
    <row r="13" spans="1:61" x14ac:dyDescent="0.25">
      <c r="A13" s="44" t="s">
        <v>247</v>
      </c>
      <c r="B13" s="45">
        <v>2</v>
      </c>
      <c r="C13" s="44" t="s">
        <v>49</v>
      </c>
      <c r="D13" t="s">
        <v>52</v>
      </c>
      <c r="E13" s="6"/>
      <c r="F13" s="7"/>
      <c r="G13" s="8"/>
      <c r="H13" s="9"/>
      <c r="J13" s="10"/>
      <c r="K13" s="11"/>
      <c r="L13" s="12"/>
      <c r="M13" s="13"/>
      <c r="O13" s="6"/>
      <c r="P13" s="7"/>
      <c r="Q13" s="8"/>
      <c r="R13" s="9"/>
      <c r="T13" s="10"/>
      <c r="U13" s="11"/>
      <c r="V13" s="12"/>
      <c r="W13" s="13"/>
      <c r="Y13" s="6"/>
      <c r="Z13" s="7"/>
      <c r="AA13" s="8"/>
      <c r="AB13" s="9"/>
      <c r="AD13" s="10"/>
      <c r="AE13" s="11"/>
      <c r="AF13" s="12"/>
      <c r="AG13" s="13"/>
      <c r="AI13" s="6"/>
      <c r="AJ13" s="7"/>
      <c r="AK13" s="8"/>
      <c r="AL13" s="9">
        <v>2</v>
      </c>
      <c r="AN13" s="10"/>
      <c r="AO13" s="11"/>
      <c r="AP13" s="12"/>
      <c r="AQ13" s="13"/>
      <c r="AS13" s="6"/>
      <c r="AT13" s="7"/>
      <c r="AU13" s="8"/>
      <c r="AV13" s="9"/>
      <c r="AX13" s="10"/>
      <c r="AY13" s="11"/>
      <c r="AZ13" s="12"/>
      <c r="BA13" s="13"/>
      <c r="BC13" s="6"/>
      <c r="BD13" s="7"/>
      <c r="BE13" s="8"/>
      <c r="BF13" s="9"/>
      <c r="BG13" s="4"/>
      <c r="BH13" s="46">
        <f t="shared" si="0"/>
        <v>2</v>
      </c>
      <c r="BI13" s="47">
        <f t="shared" si="1"/>
        <v>0.6</v>
      </c>
    </row>
    <row r="14" spans="1:61" x14ac:dyDescent="0.25">
      <c r="A14" s="44" t="s">
        <v>248</v>
      </c>
      <c r="B14" s="45">
        <v>2</v>
      </c>
      <c r="C14" s="44" t="s">
        <v>49</v>
      </c>
      <c r="D14" t="s">
        <v>52</v>
      </c>
      <c r="E14" s="6"/>
      <c r="F14" s="7"/>
      <c r="G14" s="8"/>
      <c r="H14" s="9"/>
      <c r="J14" s="10"/>
      <c r="K14" s="11"/>
      <c r="L14" s="12"/>
      <c r="M14" s="13"/>
      <c r="O14" s="6"/>
      <c r="P14" s="7"/>
      <c r="Q14" s="8"/>
      <c r="R14" s="9"/>
      <c r="T14" s="10"/>
      <c r="U14" s="11"/>
      <c r="V14" s="12"/>
      <c r="W14" s="13"/>
      <c r="Y14" s="6"/>
      <c r="Z14" s="7"/>
      <c r="AA14" s="8"/>
      <c r="AB14" s="9"/>
      <c r="AD14" s="10"/>
      <c r="AE14" s="11"/>
      <c r="AF14" s="12"/>
      <c r="AG14" s="13"/>
      <c r="AI14" s="6"/>
      <c r="AJ14" s="7"/>
      <c r="AK14" s="8"/>
      <c r="AL14" s="9"/>
      <c r="AN14" s="10"/>
      <c r="AO14" s="11"/>
      <c r="AP14" s="12"/>
      <c r="AQ14" s="13"/>
      <c r="AS14" s="6"/>
      <c r="AT14" s="7"/>
      <c r="AU14" s="8"/>
      <c r="AV14" s="9"/>
      <c r="AX14" s="10"/>
      <c r="AY14" s="11"/>
      <c r="AZ14" s="12"/>
      <c r="BA14" s="13"/>
      <c r="BC14" s="6"/>
      <c r="BD14" s="7"/>
      <c r="BE14" s="8"/>
      <c r="BF14" s="9"/>
      <c r="BG14" s="4"/>
      <c r="BH14" s="46">
        <f t="shared" si="0"/>
        <v>0</v>
      </c>
      <c r="BI14" s="47">
        <f t="shared" si="1"/>
        <v>0</v>
      </c>
    </row>
    <row r="15" spans="1:61" x14ac:dyDescent="0.25">
      <c r="A15" s="44" t="s">
        <v>249</v>
      </c>
      <c r="B15" s="45">
        <v>2</v>
      </c>
      <c r="C15" s="44" t="s">
        <v>49</v>
      </c>
      <c r="D15" t="s">
        <v>52</v>
      </c>
      <c r="E15" s="6"/>
      <c r="F15" s="7"/>
      <c r="G15" s="8"/>
      <c r="H15" s="9"/>
      <c r="J15" s="10"/>
      <c r="K15" s="11"/>
      <c r="L15" s="12"/>
      <c r="M15" s="13"/>
      <c r="O15" s="6"/>
      <c r="P15" s="7"/>
      <c r="Q15" s="8"/>
      <c r="R15" s="9"/>
      <c r="T15" s="10"/>
      <c r="U15" s="11"/>
      <c r="V15" s="12"/>
      <c r="W15" s="13"/>
      <c r="Y15" s="6"/>
      <c r="Z15" s="7"/>
      <c r="AA15" s="8"/>
      <c r="AB15" s="9"/>
      <c r="AD15" s="10"/>
      <c r="AE15" s="11"/>
      <c r="AF15" s="12"/>
      <c r="AG15" s="13"/>
      <c r="AI15" s="6"/>
      <c r="AJ15" s="7"/>
      <c r="AK15" s="8"/>
      <c r="AL15" s="9"/>
      <c r="AN15" s="10"/>
      <c r="AO15" s="11"/>
      <c r="AP15" s="12"/>
      <c r="AQ15" s="13"/>
      <c r="AS15" s="6"/>
      <c r="AT15" s="7"/>
      <c r="AU15" s="8"/>
      <c r="AV15" s="9"/>
      <c r="AX15" s="10"/>
      <c r="AY15" s="11"/>
      <c r="AZ15" s="12"/>
      <c r="BA15" s="13"/>
      <c r="BC15" s="6"/>
      <c r="BD15" s="7"/>
      <c r="BE15" s="8"/>
      <c r="BF15" s="9"/>
      <c r="BG15" s="4"/>
      <c r="BH15" s="46">
        <f t="shared" si="0"/>
        <v>0</v>
      </c>
      <c r="BI15" s="47">
        <f t="shared" si="1"/>
        <v>0</v>
      </c>
    </row>
    <row r="16" spans="1:61" x14ac:dyDescent="0.25">
      <c r="A16" s="44" t="s">
        <v>250</v>
      </c>
      <c r="B16" s="45">
        <v>10</v>
      </c>
      <c r="C16" s="44" t="s">
        <v>49</v>
      </c>
      <c r="D16" t="s">
        <v>59</v>
      </c>
      <c r="E16" s="6"/>
      <c r="F16" s="7"/>
      <c r="G16" s="8"/>
      <c r="H16" s="9"/>
      <c r="J16" s="10"/>
      <c r="K16" s="11"/>
      <c r="L16" s="12"/>
      <c r="M16" s="13"/>
      <c r="O16" s="6"/>
      <c r="P16" s="7"/>
      <c r="Q16" s="8"/>
      <c r="R16" s="9"/>
      <c r="T16" s="10"/>
      <c r="U16" s="11"/>
      <c r="V16" s="12"/>
      <c r="W16" s="13"/>
      <c r="Y16" s="6"/>
      <c r="Z16" s="7"/>
      <c r="AA16" s="8"/>
      <c r="AB16" s="9"/>
      <c r="AD16" s="10"/>
      <c r="AE16" s="11"/>
      <c r="AF16" s="12"/>
      <c r="AG16" s="13"/>
      <c r="AI16" s="6"/>
      <c r="AJ16" s="7"/>
      <c r="AK16" s="8"/>
      <c r="AL16" s="9"/>
      <c r="AN16" s="10"/>
      <c r="AO16" s="11"/>
      <c r="AP16" s="12"/>
      <c r="AQ16" s="13"/>
      <c r="AS16" s="6"/>
      <c r="AT16" s="7"/>
      <c r="AU16" s="8"/>
      <c r="AV16" s="9"/>
      <c r="AX16" s="10"/>
      <c r="AY16" s="11"/>
      <c r="AZ16" s="12"/>
      <c r="BA16" s="13"/>
      <c r="BC16" s="6"/>
      <c r="BD16" s="7"/>
      <c r="BE16" s="8"/>
      <c r="BF16" s="9"/>
      <c r="BG16" s="4"/>
      <c r="BH16" s="46">
        <f t="shared" si="0"/>
        <v>0</v>
      </c>
      <c r="BI16" s="47">
        <f t="shared" si="1"/>
        <v>0</v>
      </c>
    </row>
    <row r="17" spans="1:61" x14ac:dyDescent="0.25">
      <c r="A17" s="44" t="s">
        <v>357</v>
      </c>
      <c r="B17" s="45">
        <v>10</v>
      </c>
      <c r="C17" s="44" t="s">
        <v>49</v>
      </c>
      <c r="D17" t="s">
        <v>59</v>
      </c>
      <c r="E17" s="6"/>
      <c r="F17" s="7"/>
      <c r="G17" s="8"/>
      <c r="H17" s="9"/>
      <c r="J17" s="10"/>
      <c r="K17" s="11"/>
      <c r="L17" s="12"/>
      <c r="M17" s="13"/>
      <c r="O17" s="6"/>
      <c r="P17" s="7"/>
      <c r="Q17" s="8"/>
      <c r="R17" s="9"/>
      <c r="T17" s="10"/>
      <c r="U17" s="11"/>
      <c r="V17" s="12"/>
      <c r="W17" s="13"/>
      <c r="Y17" s="6"/>
      <c r="Z17" s="7"/>
      <c r="AA17" s="8"/>
      <c r="AB17" s="9"/>
      <c r="AD17" s="10"/>
      <c r="AE17" s="11"/>
      <c r="AF17" s="12"/>
      <c r="AG17" s="13"/>
      <c r="AI17" s="6"/>
      <c r="AJ17" s="7"/>
      <c r="AK17" s="8"/>
      <c r="AL17" s="9"/>
      <c r="AN17" s="10"/>
      <c r="AO17" s="11"/>
      <c r="AP17" s="12"/>
      <c r="AQ17" s="13"/>
      <c r="AS17" s="6"/>
      <c r="AT17" s="7"/>
      <c r="AU17" s="8"/>
      <c r="AV17" s="9"/>
      <c r="AX17" s="10"/>
      <c r="AY17" s="11"/>
      <c r="AZ17" s="12"/>
      <c r="BA17" s="13"/>
      <c r="BC17" s="6"/>
      <c r="BD17" s="7"/>
      <c r="BE17" s="8"/>
      <c r="BF17" s="9"/>
      <c r="BG17" s="4"/>
      <c r="BH17" s="46">
        <f t="shared" si="0"/>
        <v>0</v>
      </c>
      <c r="BI17" s="47">
        <f t="shared" si="1"/>
        <v>0</v>
      </c>
    </row>
    <row r="18" spans="1:61" x14ac:dyDescent="0.25">
      <c r="A18" s="44" t="s">
        <v>252</v>
      </c>
      <c r="B18" s="45">
        <v>10</v>
      </c>
      <c r="C18" s="44" t="s">
        <v>49</v>
      </c>
      <c r="D18" t="s">
        <v>59</v>
      </c>
      <c r="E18" s="6"/>
      <c r="F18" s="7"/>
      <c r="G18" s="8"/>
      <c r="H18" s="9"/>
      <c r="J18" s="10"/>
      <c r="K18" s="11"/>
      <c r="L18" s="12"/>
      <c r="M18" s="13"/>
      <c r="O18" s="6"/>
      <c r="P18" s="7"/>
      <c r="Q18" s="8"/>
      <c r="R18" s="9"/>
      <c r="T18" s="10"/>
      <c r="U18" s="11"/>
      <c r="V18" s="12"/>
      <c r="W18" s="13"/>
      <c r="Y18" s="6"/>
      <c r="Z18" s="7"/>
      <c r="AA18" s="8"/>
      <c r="AB18" s="9"/>
      <c r="AD18" s="10"/>
      <c r="AE18" s="11"/>
      <c r="AF18" s="12"/>
      <c r="AG18" s="13"/>
      <c r="AI18" s="6"/>
      <c r="AJ18" s="7"/>
      <c r="AK18" s="8"/>
      <c r="AL18" s="9"/>
      <c r="AN18" s="10"/>
      <c r="AO18" s="11"/>
      <c r="AP18" s="12"/>
      <c r="AQ18" s="13"/>
      <c r="AS18" s="6"/>
      <c r="AT18" s="7"/>
      <c r="AU18" s="8"/>
      <c r="AV18" s="9"/>
      <c r="AX18" s="10"/>
      <c r="AY18" s="11"/>
      <c r="AZ18" s="12"/>
      <c r="BA18" s="13"/>
      <c r="BC18" s="6"/>
      <c r="BD18" s="7"/>
      <c r="BE18" s="8"/>
      <c r="BF18" s="9"/>
      <c r="BG18" s="4"/>
      <c r="BH18" s="46">
        <f t="shared" si="0"/>
        <v>0</v>
      </c>
      <c r="BI18" s="47">
        <f t="shared" si="1"/>
        <v>0</v>
      </c>
    </row>
    <row r="19" spans="1:61" x14ac:dyDescent="0.25">
      <c r="A19" s="44" t="s">
        <v>253</v>
      </c>
      <c r="B19" s="45">
        <v>11</v>
      </c>
      <c r="C19" s="44" t="s">
        <v>49</v>
      </c>
      <c r="D19" t="s">
        <v>63</v>
      </c>
      <c r="E19" s="6"/>
      <c r="F19" s="7"/>
      <c r="G19" s="8"/>
      <c r="H19" s="9"/>
      <c r="J19" s="10"/>
      <c r="K19" s="11"/>
      <c r="L19" s="12"/>
      <c r="M19" s="13"/>
      <c r="O19" s="6"/>
      <c r="P19" s="7"/>
      <c r="Q19" s="8"/>
      <c r="R19" s="9"/>
      <c r="T19" s="10"/>
      <c r="U19" s="11"/>
      <c r="V19" s="12"/>
      <c r="W19" s="13"/>
      <c r="Y19" s="6"/>
      <c r="Z19" s="7"/>
      <c r="AA19" s="8"/>
      <c r="AB19" s="9"/>
      <c r="AD19" s="10"/>
      <c r="AE19" s="11"/>
      <c r="AF19" s="12"/>
      <c r="AG19" s="13"/>
      <c r="AI19" s="6"/>
      <c r="AJ19" s="7"/>
      <c r="AK19" s="8"/>
      <c r="AL19" s="9"/>
      <c r="AN19" s="10"/>
      <c r="AO19" s="11"/>
      <c r="AP19" s="12"/>
      <c r="AQ19" s="13"/>
      <c r="AS19" s="6"/>
      <c r="AT19" s="7"/>
      <c r="AU19" s="8"/>
      <c r="AV19" s="9"/>
      <c r="AX19" s="10"/>
      <c r="AY19" s="11"/>
      <c r="AZ19" s="12"/>
      <c r="BA19" s="13"/>
      <c r="BC19" s="6"/>
      <c r="BD19" s="7"/>
      <c r="BE19" s="8"/>
      <c r="BF19" s="9"/>
      <c r="BG19" s="4"/>
      <c r="BH19" s="46">
        <f t="shared" ref="BH19:BH87" si="2">SUM(E19:BF19)</f>
        <v>0</v>
      </c>
      <c r="BI19" s="47">
        <f t="shared" si="1"/>
        <v>0</v>
      </c>
    </row>
    <row r="20" spans="1:61" x14ac:dyDescent="0.25">
      <c r="A20" s="44" t="s">
        <v>254</v>
      </c>
      <c r="B20" s="45">
        <v>11</v>
      </c>
      <c r="C20" s="44" t="s">
        <v>49</v>
      </c>
      <c r="D20" t="s">
        <v>63</v>
      </c>
      <c r="E20" s="6"/>
      <c r="F20" s="7"/>
      <c r="G20" s="8"/>
      <c r="H20" s="9"/>
      <c r="J20" s="10"/>
      <c r="K20" s="11"/>
      <c r="L20" s="12"/>
      <c r="M20" s="13"/>
      <c r="O20" s="6"/>
      <c r="P20" s="7"/>
      <c r="Q20" s="8"/>
      <c r="R20" s="9"/>
      <c r="T20" s="10"/>
      <c r="U20" s="11"/>
      <c r="V20" s="12"/>
      <c r="W20" s="13"/>
      <c r="Y20" s="6"/>
      <c r="Z20" s="7"/>
      <c r="AA20" s="8"/>
      <c r="AB20" s="9"/>
      <c r="AD20" s="10"/>
      <c r="AE20" s="11"/>
      <c r="AF20" s="12"/>
      <c r="AG20" s="13"/>
      <c r="AI20" s="6"/>
      <c r="AJ20" s="7"/>
      <c r="AK20" s="8"/>
      <c r="AL20" s="9"/>
      <c r="AN20" s="10"/>
      <c r="AO20" s="11"/>
      <c r="AP20" s="12"/>
      <c r="AQ20" s="13"/>
      <c r="AS20" s="6"/>
      <c r="AT20" s="7"/>
      <c r="AU20" s="8"/>
      <c r="AV20" s="9"/>
      <c r="AX20" s="10"/>
      <c r="AY20" s="11"/>
      <c r="AZ20" s="12"/>
      <c r="BA20" s="13"/>
      <c r="BC20" s="6"/>
      <c r="BD20" s="7"/>
      <c r="BE20" s="8"/>
      <c r="BF20" s="9"/>
      <c r="BG20" s="4"/>
      <c r="BH20" s="46">
        <f t="shared" si="2"/>
        <v>0</v>
      </c>
      <c r="BI20" s="47">
        <f t="shared" ref="BI20:BI87" si="3">(SUM(E20:BG20)*$D$2)</f>
        <v>0</v>
      </c>
    </row>
    <row r="21" spans="1:61" x14ac:dyDescent="0.25">
      <c r="A21" s="44" t="s">
        <v>255</v>
      </c>
      <c r="B21" s="45">
        <v>11</v>
      </c>
      <c r="C21" s="44" t="s">
        <v>49</v>
      </c>
      <c r="D21" t="s">
        <v>63</v>
      </c>
      <c r="E21" s="6"/>
      <c r="F21" s="7"/>
      <c r="G21" s="8"/>
      <c r="H21" s="9"/>
      <c r="J21" s="10"/>
      <c r="K21" s="11"/>
      <c r="L21" s="12"/>
      <c r="M21" s="13"/>
      <c r="O21" s="6"/>
      <c r="P21" s="7"/>
      <c r="Q21" s="8"/>
      <c r="R21" s="9"/>
      <c r="T21" s="10"/>
      <c r="U21" s="11"/>
      <c r="V21" s="12"/>
      <c r="W21" s="13"/>
      <c r="Y21" s="6"/>
      <c r="Z21" s="7"/>
      <c r="AA21" s="8"/>
      <c r="AB21" s="9"/>
      <c r="AD21" s="10"/>
      <c r="AE21" s="11"/>
      <c r="AF21" s="12"/>
      <c r="AG21" s="13"/>
      <c r="AI21" s="6"/>
      <c r="AJ21" s="7"/>
      <c r="AK21" s="8"/>
      <c r="AL21" s="9"/>
      <c r="AN21" s="10"/>
      <c r="AO21" s="11"/>
      <c r="AP21" s="12"/>
      <c r="AQ21" s="13"/>
      <c r="AS21" s="6"/>
      <c r="AT21" s="7"/>
      <c r="AU21" s="8"/>
      <c r="AV21" s="9"/>
      <c r="AX21" s="10"/>
      <c r="AY21" s="11"/>
      <c r="AZ21" s="12"/>
      <c r="BA21" s="13"/>
      <c r="BC21" s="6"/>
      <c r="BD21" s="7"/>
      <c r="BE21" s="8"/>
      <c r="BF21" s="9"/>
      <c r="BG21" s="4"/>
      <c r="BH21" s="46">
        <f t="shared" si="2"/>
        <v>0</v>
      </c>
      <c r="BI21" s="47">
        <f t="shared" si="3"/>
        <v>0</v>
      </c>
    </row>
    <row r="22" spans="1:61" x14ac:dyDescent="0.25">
      <c r="A22" s="44" t="s">
        <v>409</v>
      </c>
      <c r="B22" s="45">
        <v>12</v>
      </c>
      <c r="C22" s="44" t="s">
        <v>49</v>
      </c>
      <c r="D22" t="s">
        <v>60</v>
      </c>
      <c r="E22" s="6"/>
      <c r="F22" s="7"/>
      <c r="G22" s="8"/>
      <c r="H22" s="9"/>
      <c r="J22" s="10"/>
      <c r="K22" s="11"/>
      <c r="L22" s="12"/>
      <c r="M22" s="13"/>
      <c r="O22" s="6"/>
      <c r="P22" s="7"/>
      <c r="Q22" s="8"/>
      <c r="R22" s="9"/>
      <c r="T22" s="10"/>
      <c r="U22" s="11"/>
      <c r="V22" s="12"/>
      <c r="W22" s="13"/>
      <c r="Y22" s="6"/>
      <c r="Z22" s="7"/>
      <c r="AA22" s="8"/>
      <c r="AB22" s="9"/>
      <c r="AD22" s="10"/>
      <c r="AE22" s="11"/>
      <c r="AF22" s="12"/>
      <c r="AG22" s="13"/>
      <c r="AI22" s="6"/>
      <c r="AJ22" s="7"/>
      <c r="AK22" s="8"/>
      <c r="AL22" s="9"/>
      <c r="AN22" s="10"/>
      <c r="AO22" s="11"/>
      <c r="AP22" s="12"/>
      <c r="AQ22" s="13"/>
      <c r="AS22" s="6"/>
      <c r="AT22" s="7"/>
      <c r="AU22" s="8"/>
      <c r="AV22" s="9"/>
      <c r="AX22" s="10"/>
      <c r="AY22" s="11"/>
      <c r="AZ22" s="12"/>
      <c r="BA22" s="13"/>
      <c r="BC22" s="6"/>
      <c r="BD22" s="7"/>
      <c r="BE22" s="8"/>
      <c r="BF22" s="9"/>
      <c r="BG22" s="4"/>
      <c r="BH22" s="46">
        <f t="shared" si="2"/>
        <v>0</v>
      </c>
      <c r="BI22" s="47">
        <f t="shared" si="3"/>
        <v>0</v>
      </c>
    </row>
    <row r="23" spans="1:61" x14ac:dyDescent="0.25">
      <c r="A23" s="44" t="s">
        <v>257</v>
      </c>
      <c r="B23" s="45">
        <v>3</v>
      </c>
      <c r="C23" s="44" t="s">
        <v>49</v>
      </c>
      <c r="D23" t="s">
        <v>56</v>
      </c>
      <c r="E23" s="6"/>
      <c r="F23" s="7"/>
      <c r="G23" s="8"/>
      <c r="H23" s="9"/>
      <c r="J23" s="10"/>
      <c r="K23" s="11"/>
      <c r="L23" s="12"/>
      <c r="M23" s="13"/>
      <c r="O23" s="6"/>
      <c r="P23" s="7"/>
      <c r="Q23" s="8"/>
      <c r="R23" s="9"/>
      <c r="T23" s="10"/>
      <c r="U23" s="11"/>
      <c r="V23" s="12"/>
      <c r="W23" s="13"/>
      <c r="Y23" s="6"/>
      <c r="Z23" s="7"/>
      <c r="AA23" s="8"/>
      <c r="AB23" s="9"/>
      <c r="AD23" s="10"/>
      <c r="AE23" s="11"/>
      <c r="AF23" s="12"/>
      <c r="AG23" s="13"/>
      <c r="AI23" s="6"/>
      <c r="AJ23" s="7"/>
      <c r="AK23" s="8"/>
      <c r="AL23" s="9"/>
      <c r="AN23" s="10"/>
      <c r="AO23" s="11"/>
      <c r="AP23" s="12"/>
      <c r="AQ23" s="13"/>
      <c r="AS23" s="6"/>
      <c r="AT23" s="7"/>
      <c r="AU23" s="8"/>
      <c r="AV23" s="9"/>
      <c r="AX23" s="10"/>
      <c r="AY23" s="11"/>
      <c r="AZ23" s="12"/>
      <c r="BA23" s="13"/>
      <c r="BC23" s="6"/>
      <c r="BD23" s="7"/>
      <c r="BE23" s="8"/>
      <c r="BF23" s="9"/>
      <c r="BG23" s="4"/>
      <c r="BH23" s="46">
        <f t="shared" si="2"/>
        <v>0</v>
      </c>
      <c r="BI23" s="47">
        <f t="shared" si="3"/>
        <v>0</v>
      </c>
    </row>
    <row r="24" spans="1:61" x14ac:dyDescent="0.25">
      <c r="A24" s="44" t="s">
        <v>258</v>
      </c>
      <c r="B24" s="45">
        <v>3</v>
      </c>
      <c r="C24" s="44" t="s">
        <v>49</v>
      </c>
      <c r="D24" t="s">
        <v>56</v>
      </c>
      <c r="E24" s="6"/>
      <c r="F24" s="7"/>
      <c r="G24" s="8"/>
      <c r="H24" s="9"/>
      <c r="J24" s="10"/>
      <c r="K24" s="11"/>
      <c r="L24" s="12"/>
      <c r="M24" s="13"/>
      <c r="O24" s="6"/>
      <c r="P24" s="7"/>
      <c r="Q24" s="8"/>
      <c r="R24" s="9"/>
      <c r="T24" s="10"/>
      <c r="U24" s="11"/>
      <c r="V24" s="12"/>
      <c r="W24" s="13"/>
      <c r="Y24" s="6"/>
      <c r="Z24" s="7"/>
      <c r="AA24" s="8"/>
      <c r="AB24" s="9"/>
      <c r="AD24" s="10"/>
      <c r="AE24" s="11"/>
      <c r="AF24" s="12"/>
      <c r="AG24" s="13"/>
      <c r="AI24" s="6"/>
      <c r="AJ24" s="7"/>
      <c r="AK24" s="8"/>
      <c r="AL24" s="9"/>
      <c r="AN24" s="10"/>
      <c r="AO24" s="11"/>
      <c r="AP24" s="12"/>
      <c r="AQ24" s="13"/>
      <c r="AS24" s="6"/>
      <c r="AT24" s="7"/>
      <c r="AU24" s="8"/>
      <c r="AV24" s="9"/>
      <c r="AX24" s="10"/>
      <c r="AY24" s="11"/>
      <c r="AZ24" s="12"/>
      <c r="BA24" s="13"/>
      <c r="BC24" s="6"/>
      <c r="BD24" s="7"/>
      <c r="BE24" s="8"/>
      <c r="BF24" s="9"/>
      <c r="BG24" s="4"/>
      <c r="BH24" s="46">
        <f t="shared" si="2"/>
        <v>0</v>
      </c>
      <c r="BI24" s="47">
        <f t="shared" si="3"/>
        <v>0</v>
      </c>
    </row>
    <row r="25" spans="1:61" x14ac:dyDescent="0.25">
      <c r="A25" s="44" t="s">
        <v>259</v>
      </c>
      <c r="B25" s="45">
        <v>3</v>
      </c>
      <c r="C25" s="44" t="s">
        <v>49</v>
      </c>
      <c r="D25" t="s">
        <v>56</v>
      </c>
      <c r="E25" s="6"/>
      <c r="F25" s="7">
        <v>5</v>
      </c>
      <c r="G25" s="8"/>
      <c r="H25" s="9"/>
      <c r="J25" s="10"/>
      <c r="K25" s="11"/>
      <c r="L25" s="12"/>
      <c r="M25" s="13"/>
      <c r="O25" s="6"/>
      <c r="P25" s="7"/>
      <c r="Q25" s="8"/>
      <c r="R25" s="9"/>
      <c r="T25" s="10"/>
      <c r="U25" s="11"/>
      <c r="V25" s="12"/>
      <c r="W25" s="13"/>
      <c r="Y25" s="6"/>
      <c r="Z25" s="7"/>
      <c r="AA25" s="8"/>
      <c r="AB25" s="9"/>
      <c r="AD25" s="10"/>
      <c r="AE25" s="11"/>
      <c r="AF25" s="12"/>
      <c r="AG25" s="13"/>
      <c r="AI25" s="6"/>
      <c r="AJ25" s="7"/>
      <c r="AK25" s="8"/>
      <c r="AL25" s="9"/>
      <c r="AN25" s="10"/>
      <c r="AO25" s="11"/>
      <c r="AP25" s="12"/>
      <c r="AQ25" s="13"/>
      <c r="AS25" s="6"/>
      <c r="AT25" s="7"/>
      <c r="AU25" s="8"/>
      <c r="AV25" s="9"/>
      <c r="AX25" s="10"/>
      <c r="AY25" s="11"/>
      <c r="AZ25" s="12"/>
      <c r="BA25" s="13"/>
      <c r="BC25" s="6"/>
      <c r="BD25" s="7"/>
      <c r="BE25" s="8"/>
      <c r="BF25" s="9"/>
      <c r="BG25" s="4"/>
      <c r="BH25" s="46">
        <f t="shared" si="2"/>
        <v>5</v>
      </c>
      <c r="BI25" s="47">
        <f t="shared" si="3"/>
        <v>1.5</v>
      </c>
    </row>
    <row r="26" spans="1:61" x14ac:dyDescent="0.25">
      <c r="A26" s="44" t="s">
        <v>260</v>
      </c>
      <c r="B26" s="45">
        <v>3</v>
      </c>
      <c r="C26" s="44" t="s">
        <v>49</v>
      </c>
      <c r="D26" t="s">
        <v>56</v>
      </c>
      <c r="E26" s="6"/>
      <c r="F26" s="7"/>
      <c r="G26" s="8"/>
      <c r="H26" s="9"/>
      <c r="J26" s="10"/>
      <c r="K26" s="11"/>
      <c r="L26" s="12"/>
      <c r="M26" s="13"/>
      <c r="O26" s="6"/>
      <c r="P26" s="7"/>
      <c r="Q26" s="8"/>
      <c r="R26" s="9"/>
      <c r="T26" s="10"/>
      <c r="U26" s="11"/>
      <c r="V26" s="12"/>
      <c r="W26" s="13"/>
      <c r="Y26" s="6"/>
      <c r="Z26" s="7"/>
      <c r="AA26" s="8"/>
      <c r="AB26" s="9"/>
      <c r="AD26" s="10"/>
      <c r="AE26" s="11"/>
      <c r="AF26" s="12"/>
      <c r="AG26" s="13"/>
      <c r="AI26" s="6"/>
      <c r="AJ26" s="7"/>
      <c r="AK26" s="8"/>
      <c r="AL26" s="9"/>
      <c r="AN26" s="10"/>
      <c r="AO26" s="11"/>
      <c r="AP26" s="12"/>
      <c r="AQ26" s="13"/>
      <c r="AS26" s="6"/>
      <c r="AT26" s="7"/>
      <c r="AU26" s="8"/>
      <c r="AV26" s="9"/>
      <c r="AX26" s="10"/>
      <c r="AY26" s="11"/>
      <c r="AZ26" s="12"/>
      <c r="BA26" s="13"/>
      <c r="BC26" s="6"/>
      <c r="BD26" s="7"/>
      <c r="BE26" s="8"/>
      <c r="BF26" s="9"/>
      <c r="BG26" s="4"/>
      <c r="BH26" s="46">
        <f t="shared" si="2"/>
        <v>0</v>
      </c>
      <c r="BI26" s="47">
        <f t="shared" si="3"/>
        <v>0</v>
      </c>
    </row>
    <row r="27" spans="1:61" x14ac:dyDescent="0.25">
      <c r="A27" s="44" t="s">
        <v>261</v>
      </c>
      <c r="B27" s="45">
        <v>3</v>
      </c>
      <c r="C27" s="44" t="s">
        <v>49</v>
      </c>
      <c r="D27" t="s">
        <v>56</v>
      </c>
      <c r="E27" s="6"/>
      <c r="F27" s="7"/>
      <c r="G27" s="8"/>
      <c r="H27" s="9"/>
      <c r="J27" s="10"/>
      <c r="K27" s="11"/>
      <c r="L27" s="12"/>
      <c r="M27" s="13">
        <v>1</v>
      </c>
      <c r="O27" s="6"/>
      <c r="P27" s="7"/>
      <c r="Q27" s="8"/>
      <c r="R27" s="9"/>
      <c r="T27" s="10"/>
      <c r="U27" s="11"/>
      <c r="V27" s="12"/>
      <c r="W27" s="13"/>
      <c r="Y27" s="6"/>
      <c r="Z27" s="7"/>
      <c r="AA27" s="8"/>
      <c r="AB27" s="9"/>
      <c r="AD27" s="10"/>
      <c r="AE27" s="11"/>
      <c r="AF27" s="12"/>
      <c r="AG27" s="13"/>
      <c r="AI27" s="6"/>
      <c r="AJ27" s="7"/>
      <c r="AK27" s="8"/>
      <c r="AL27" s="9"/>
      <c r="AN27" s="10"/>
      <c r="AO27" s="11"/>
      <c r="AP27" s="12"/>
      <c r="AQ27" s="13"/>
      <c r="AS27" s="6"/>
      <c r="AT27" s="7"/>
      <c r="AU27" s="8"/>
      <c r="AV27" s="9"/>
      <c r="AX27" s="10"/>
      <c r="AY27" s="11"/>
      <c r="AZ27" s="12"/>
      <c r="BA27" s="13"/>
      <c r="BC27" s="6"/>
      <c r="BD27" s="7"/>
      <c r="BE27" s="8"/>
      <c r="BF27" s="9"/>
      <c r="BG27" s="4"/>
      <c r="BH27" s="46">
        <f t="shared" ref="BH27" si="4">SUM(E27:BF27)</f>
        <v>1</v>
      </c>
      <c r="BI27" s="47">
        <f t="shared" ref="BI27" si="5">(SUM(E27:BG27)*$D$2)</f>
        <v>0.3</v>
      </c>
    </row>
    <row r="28" spans="1:61" x14ac:dyDescent="0.25">
      <c r="A28" s="44" t="s">
        <v>342</v>
      </c>
      <c r="B28" s="45">
        <v>3</v>
      </c>
      <c r="C28" s="44" t="s">
        <v>49</v>
      </c>
      <c r="D28" t="s">
        <v>56</v>
      </c>
      <c r="E28" s="6"/>
      <c r="F28" s="7"/>
      <c r="G28" s="8"/>
      <c r="H28" s="9"/>
      <c r="J28" s="10"/>
      <c r="K28" s="11"/>
      <c r="L28" s="12"/>
      <c r="M28" s="13">
        <v>6</v>
      </c>
      <c r="O28" s="6"/>
      <c r="P28" s="7"/>
      <c r="Q28" s="8"/>
      <c r="R28" s="9"/>
      <c r="T28" s="10"/>
      <c r="U28" s="11"/>
      <c r="V28" s="12"/>
      <c r="W28" s="13"/>
      <c r="Y28" s="6"/>
      <c r="Z28" s="7"/>
      <c r="AA28" s="8"/>
      <c r="AB28" s="9"/>
      <c r="AD28" s="10"/>
      <c r="AE28" s="11"/>
      <c r="AF28" s="12"/>
      <c r="AG28" s="13"/>
      <c r="AI28" s="6"/>
      <c r="AJ28" s="7"/>
      <c r="AK28" s="8"/>
      <c r="AL28" s="9"/>
      <c r="AN28" s="10"/>
      <c r="AO28" s="11"/>
      <c r="AP28" s="12"/>
      <c r="AQ28" s="13"/>
      <c r="AS28" s="6"/>
      <c r="AT28" s="7"/>
      <c r="AU28" s="8"/>
      <c r="AV28" s="9"/>
      <c r="AX28" s="10"/>
      <c r="AY28" s="11"/>
      <c r="AZ28" s="12"/>
      <c r="BA28" s="13"/>
      <c r="BC28" s="6"/>
      <c r="BD28" s="7"/>
      <c r="BE28" s="8"/>
      <c r="BF28" s="9"/>
      <c r="BG28" s="4"/>
      <c r="BH28" s="46">
        <f t="shared" si="2"/>
        <v>6</v>
      </c>
      <c r="BI28" s="47">
        <f t="shared" si="3"/>
        <v>1.7999999999999998</v>
      </c>
    </row>
    <row r="29" spans="1:61" x14ac:dyDescent="0.25">
      <c r="A29" s="44" t="s">
        <v>262</v>
      </c>
      <c r="B29" s="45">
        <v>5</v>
      </c>
      <c r="C29" s="44" t="s">
        <v>49</v>
      </c>
      <c r="D29" t="s">
        <v>58</v>
      </c>
      <c r="E29" s="6"/>
      <c r="F29" s="7"/>
      <c r="G29" s="8"/>
      <c r="H29" s="9"/>
      <c r="J29" s="10"/>
      <c r="K29" s="11"/>
      <c r="L29" s="12"/>
      <c r="M29" s="13"/>
      <c r="O29" s="6"/>
      <c r="P29" s="7"/>
      <c r="Q29" s="8"/>
      <c r="R29" s="9"/>
      <c r="T29" s="10"/>
      <c r="U29" s="11"/>
      <c r="V29" s="12"/>
      <c r="W29" s="13"/>
      <c r="Y29" s="6"/>
      <c r="Z29" s="7"/>
      <c r="AA29" s="8"/>
      <c r="AB29" s="9"/>
      <c r="AD29" s="10"/>
      <c r="AE29" s="11"/>
      <c r="AF29" s="12"/>
      <c r="AG29" s="13"/>
      <c r="AI29" s="6"/>
      <c r="AJ29" s="7"/>
      <c r="AK29" s="8"/>
      <c r="AL29" s="9"/>
      <c r="AN29" s="10"/>
      <c r="AO29" s="11"/>
      <c r="AP29" s="12"/>
      <c r="AQ29" s="13"/>
      <c r="AS29" s="6"/>
      <c r="AT29" s="7"/>
      <c r="AU29" s="8"/>
      <c r="AV29" s="9"/>
      <c r="AX29" s="10"/>
      <c r="AY29" s="11"/>
      <c r="AZ29" s="12"/>
      <c r="BA29" s="13"/>
      <c r="BC29" s="6"/>
      <c r="BD29" s="7"/>
      <c r="BE29" s="8"/>
      <c r="BF29" s="9"/>
      <c r="BG29" s="4"/>
      <c r="BH29" s="46">
        <f t="shared" si="2"/>
        <v>0</v>
      </c>
      <c r="BI29" s="47">
        <f t="shared" si="3"/>
        <v>0</v>
      </c>
    </row>
    <row r="30" spans="1:61" x14ac:dyDescent="0.25">
      <c r="A30" s="44" t="s">
        <v>343</v>
      </c>
      <c r="B30" s="45">
        <v>5</v>
      </c>
      <c r="C30" s="44" t="s">
        <v>49</v>
      </c>
      <c r="D30" t="s">
        <v>58</v>
      </c>
      <c r="E30" s="6"/>
      <c r="F30" s="7"/>
      <c r="G30" s="8"/>
      <c r="H30" s="9"/>
      <c r="J30" s="10"/>
      <c r="K30" s="11"/>
      <c r="L30" s="12"/>
      <c r="M30" s="13"/>
      <c r="O30" s="6"/>
      <c r="P30" s="7"/>
      <c r="Q30" s="8"/>
      <c r="R30" s="9"/>
      <c r="T30" s="10"/>
      <c r="U30" s="11"/>
      <c r="V30" s="12"/>
      <c r="W30" s="13"/>
      <c r="Y30" s="6"/>
      <c r="Z30" s="7"/>
      <c r="AA30" s="8"/>
      <c r="AB30" s="9"/>
      <c r="AD30" s="10"/>
      <c r="AE30" s="11"/>
      <c r="AF30" s="12"/>
      <c r="AG30" s="13"/>
      <c r="AI30" s="6"/>
      <c r="AJ30" s="7"/>
      <c r="AK30" s="8"/>
      <c r="AL30" s="9"/>
      <c r="AN30" s="10"/>
      <c r="AO30" s="11"/>
      <c r="AP30" s="12"/>
      <c r="AQ30" s="13"/>
      <c r="AS30" s="6"/>
      <c r="AT30" s="7"/>
      <c r="AU30" s="8"/>
      <c r="AV30" s="9"/>
      <c r="AX30" s="10"/>
      <c r="AY30" s="11"/>
      <c r="AZ30" s="12"/>
      <c r="BA30" s="13"/>
      <c r="BC30" s="6"/>
      <c r="BD30" s="7"/>
      <c r="BE30" s="8"/>
      <c r="BF30" s="9"/>
      <c r="BG30" s="4"/>
      <c r="BH30" s="46">
        <f t="shared" si="2"/>
        <v>0</v>
      </c>
      <c r="BI30" s="47">
        <f t="shared" si="3"/>
        <v>0</v>
      </c>
    </row>
    <row r="31" spans="1:61" x14ac:dyDescent="0.25">
      <c r="A31" s="44" t="s">
        <v>263</v>
      </c>
      <c r="B31" s="45">
        <v>5</v>
      </c>
      <c r="C31" s="44" t="s">
        <v>49</v>
      </c>
      <c r="D31" t="s">
        <v>58</v>
      </c>
      <c r="E31" s="6"/>
      <c r="F31" s="7"/>
      <c r="G31" s="8"/>
      <c r="H31" s="9"/>
      <c r="J31" s="10"/>
      <c r="K31" s="11"/>
      <c r="L31" s="12"/>
      <c r="M31" s="13"/>
      <c r="O31" s="6"/>
      <c r="P31" s="7"/>
      <c r="Q31" s="8"/>
      <c r="R31" s="9"/>
      <c r="T31" s="10"/>
      <c r="U31" s="11"/>
      <c r="V31" s="12"/>
      <c r="W31" s="13"/>
      <c r="Y31" s="6"/>
      <c r="Z31" s="7"/>
      <c r="AA31" s="8"/>
      <c r="AB31" s="9"/>
      <c r="AD31" s="10"/>
      <c r="AE31" s="11"/>
      <c r="AF31" s="12"/>
      <c r="AG31" s="13"/>
      <c r="AI31" s="6"/>
      <c r="AJ31" s="7"/>
      <c r="AK31" s="8"/>
      <c r="AL31" s="9"/>
      <c r="AN31" s="10"/>
      <c r="AO31" s="11"/>
      <c r="AP31" s="12"/>
      <c r="AQ31" s="13"/>
      <c r="AS31" s="6"/>
      <c r="AT31" s="7"/>
      <c r="AU31" s="8"/>
      <c r="AV31" s="9"/>
      <c r="AX31" s="10"/>
      <c r="AY31" s="11"/>
      <c r="AZ31" s="12"/>
      <c r="BA31" s="13"/>
      <c r="BC31" s="6"/>
      <c r="BD31" s="7"/>
      <c r="BE31" s="8"/>
      <c r="BF31" s="9"/>
      <c r="BG31" s="4"/>
      <c r="BH31" s="46">
        <f t="shared" si="2"/>
        <v>0</v>
      </c>
      <c r="BI31" s="47">
        <f t="shared" si="3"/>
        <v>0</v>
      </c>
    </row>
    <row r="32" spans="1:61" x14ac:dyDescent="0.25">
      <c r="A32" s="44" t="s">
        <v>264</v>
      </c>
      <c r="B32" s="45">
        <v>5</v>
      </c>
      <c r="C32" s="44" t="s">
        <v>49</v>
      </c>
      <c r="D32" t="s">
        <v>58</v>
      </c>
      <c r="E32" s="6"/>
      <c r="F32" s="7"/>
      <c r="G32" s="8"/>
      <c r="H32" s="9"/>
      <c r="J32" s="10"/>
      <c r="K32" s="11"/>
      <c r="L32" s="12"/>
      <c r="M32" s="13"/>
      <c r="O32" s="6"/>
      <c r="P32" s="7"/>
      <c r="Q32" s="8"/>
      <c r="R32" s="9"/>
      <c r="T32" s="10"/>
      <c r="U32" s="11"/>
      <c r="V32" s="12"/>
      <c r="W32" s="13"/>
      <c r="Y32" s="6"/>
      <c r="Z32" s="7"/>
      <c r="AA32" s="8"/>
      <c r="AB32" s="9"/>
      <c r="AD32" s="10"/>
      <c r="AE32" s="11"/>
      <c r="AF32" s="12"/>
      <c r="AG32" s="13"/>
      <c r="AI32" s="6"/>
      <c r="AJ32" s="7"/>
      <c r="AK32" s="8"/>
      <c r="AL32" s="9"/>
      <c r="AN32" s="10"/>
      <c r="AO32" s="11"/>
      <c r="AP32" s="12"/>
      <c r="AQ32" s="13"/>
      <c r="AS32" s="6"/>
      <c r="AT32" s="7"/>
      <c r="AU32" s="8"/>
      <c r="AV32" s="9"/>
      <c r="AX32" s="10"/>
      <c r="AY32" s="11"/>
      <c r="AZ32" s="12"/>
      <c r="BA32" s="13"/>
      <c r="BC32" s="6"/>
      <c r="BD32" s="7"/>
      <c r="BE32" s="8"/>
      <c r="BF32" s="9"/>
      <c r="BG32" s="4"/>
      <c r="BH32" s="46">
        <f t="shared" si="2"/>
        <v>0</v>
      </c>
      <c r="BI32" s="47">
        <f t="shared" si="3"/>
        <v>0</v>
      </c>
    </row>
    <row r="33" spans="1:61" x14ac:dyDescent="0.25">
      <c r="A33" s="44" t="s">
        <v>265</v>
      </c>
      <c r="B33" s="45">
        <v>5</v>
      </c>
      <c r="C33" s="44" t="s">
        <v>49</v>
      </c>
      <c r="D33" t="s">
        <v>58</v>
      </c>
      <c r="E33" s="6"/>
      <c r="F33" s="7"/>
      <c r="G33" s="8"/>
      <c r="H33" s="9"/>
      <c r="J33" s="10"/>
      <c r="K33" s="11"/>
      <c r="L33" s="12"/>
      <c r="M33" s="13"/>
      <c r="O33" s="6"/>
      <c r="P33" s="7"/>
      <c r="Q33" s="8"/>
      <c r="R33" s="9"/>
      <c r="T33" s="10"/>
      <c r="U33" s="11"/>
      <c r="V33" s="12"/>
      <c r="W33" s="13"/>
      <c r="Y33" s="6"/>
      <c r="Z33" s="7"/>
      <c r="AA33" s="8"/>
      <c r="AB33" s="9"/>
      <c r="AD33" s="10"/>
      <c r="AE33" s="11"/>
      <c r="AF33" s="12"/>
      <c r="AG33" s="13"/>
      <c r="AI33" s="6"/>
      <c r="AJ33" s="7"/>
      <c r="AK33" s="8"/>
      <c r="AL33" s="9"/>
      <c r="AN33" s="10"/>
      <c r="AO33" s="11"/>
      <c r="AP33" s="12"/>
      <c r="AQ33" s="13"/>
      <c r="AS33" s="6"/>
      <c r="AT33" s="7"/>
      <c r="AU33" s="8"/>
      <c r="AV33" s="9"/>
      <c r="AX33" s="10"/>
      <c r="AY33" s="11"/>
      <c r="AZ33" s="12"/>
      <c r="BA33" s="13"/>
      <c r="BC33" s="6"/>
      <c r="BD33" s="7"/>
      <c r="BE33" s="8"/>
      <c r="BF33" s="9"/>
      <c r="BG33" s="4"/>
      <c r="BH33" s="46">
        <f t="shared" si="2"/>
        <v>0</v>
      </c>
      <c r="BI33" s="47">
        <f t="shared" si="3"/>
        <v>0</v>
      </c>
    </row>
    <row r="34" spans="1:61" x14ac:dyDescent="0.25">
      <c r="A34" s="44" t="s">
        <v>266</v>
      </c>
      <c r="B34" s="45">
        <v>5</v>
      </c>
      <c r="C34" s="44" t="s">
        <v>49</v>
      </c>
      <c r="D34" t="s">
        <v>58</v>
      </c>
      <c r="E34" s="6"/>
      <c r="F34" s="7"/>
      <c r="G34" s="8"/>
      <c r="H34" s="9"/>
      <c r="J34" s="10"/>
      <c r="K34" s="11"/>
      <c r="L34" s="12"/>
      <c r="M34" s="13"/>
      <c r="O34" s="6"/>
      <c r="P34" s="7"/>
      <c r="Q34" s="8"/>
      <c r="R34" s="9"/>
      <c r="T34" s="10"/>
      <c r="U34" s="11"/>
      <c r="V34" s="12"/>
      <c r="W34" s="13"/>
      <c r="Y34" s="6"/>
      <c r="Z34" s="7"/>
      <c r="AA34" s="8"/>
      <c r="AB34" s="9"/>
      <c r="AD34" s="10"/>
      <c r="AE34" s="11"/>
      <c r="AF34" s="12"/>
      <c r="AG34" s="13"/>
      <c r="AI34" s="6"/>
      <c r="AJ34" s="7"/>
      <c r="AK34" s="8"/>
      <c r="AL34" s="9"/>
      <c r="AN34" s="10"/>
      <c r="AO34" s="11"/>
      <c r="AP34" s="12"/>
      <c r="AQ34" s="13"/>
      <c r="AS34" s="6"/>
      <c r="AT34" s="7"/>
      <c r="AU34" s="8"/>
      <c r="AV34" s="9"/>
      <c r="AX34" s="10"/>
      <c r="AY34" s="11"/>
      <c r="AZ34" s="12"/>
      <c r="BA34" s="13"/>
      <c r="BC34" s="6"/>
      <c r="BD34" s="7"/>
      <c r="BE34" s="8"/>
      <c r="BF34" s="9"/>
      <c r="BG34" s="4"/>
      <c r="BH34" s="46">
        <f t="shared" si="2"/>
        <v>0</v>
      </c>
      <c r="BI34" s="47">
        <f t="shared" si="3"/>
        <v>0</v>
      </c>
    </row>
    <row r="35" spans="1:61" x14ac:dyDescent="0.25">
      <c r="A35" s="44" t="s">
        <v>267</v>
      </c>
      <c r="B35" s="45">
        <v>4</v>
      </c>
      <c r="C35" s="44" t="s">
        <v>49</v>
      </c>
      <c r="D35" t="s">
        <v>55</v>
      </c>
      <c r="E35" s="6"/>
      <c r="F35" s="7"/>
      <c r="G35" s="8"/>
      <c r="H35" s="9"/>
      <c r="J35" s="10"/>
      <c r="K35" s="11"/>
      <c r="L35" s="12"/>
      <c r="M35" s="13"/>
      <c r="O35" s="6"/>
      <c r="P35" s="7"/>
      <c r="Q35" s="8"/>
      <c r="R35" s="9"/>
      <c r="T35" s="10"/>
      <c r="U35" s="11"/>
      <c r="V35" s="12"/>
      <c r="W35" s="13"/>
      <c r="Y35" s="6"/>
      <c r="Z35" s="7"/>
      <c r="AA35" s="8"/>
      <c r="AB35" s="9"/>
      <c r="AD35" s="10"/>
      <c r="AE35" s="11"/>
      <c r="AF35" s="12"/>
      <c r="AG35" s="13"/>
      <c r="AI35" s="6"/>
      <c r="AJ35" s="7"/>
      <c r="AK35" s="8"/>
      <c r="AL35" s="9"/>
      <c r="AN35" s="10"/>
      <c r="AO35" s="11"/>
      <c r="AP35" s="12"/>
      <c r="AQ35" s="13"/>
      <c r="AS35" s="6"/>
      <c r="AT35" s="7"/>
      <c r="AU35" s="8"/>
      <c r="AV35" s="9"/>
      <c r="AX35" s="10"/>
      <c r="AY35" s="11"/>
      <c r="AZ35" s="12"/>
      <c r="BA35" s="13"/>
      <c r="BC35" s="6"/>
      <c r="BD35" s="7"/>
      <c r="BE35" s="8"/>
      <c r="BF35" s="9"/>
      <c r="BG35" s="4"/>
      <c r="BH35" s="46">
        <f t="shared" si="2"/>
        <v>0</v>
      </c>
      <c r="BI35" s="47">
        <f t="shared" si="3"/>
        <v>0</v>
      </c>
    </row>
    <row r="36" spans="1:61" x14ac:dyDescent="0.25">
      <c r="A36" s="44" t="s">
        <v>268</v>
      </c>
      <c r="B36" s="45">
        <v>4</v>
      </c>
      <c r="C36" s="44" t="s">
        <v>49</v>
      </c>
      <c r="D36" t="s">
        <v>55</v>
      </c>
      <c r="E36" s="6"/>
      <c r="F36" s="7"/>
      <c r="G36" s="8"/>
      <c r="H36" s="9"/>
      <c r="J36" s="10"/>
      <c r="K36" s="11"/>
      <c r="L36" s="12"/>
      <c r="M36" s="13"/>
      <c r="O36" s="6"/>
      <c r="P36" s="7"/>
      <c r="Q36" s="8"/>
      <c r="R36" s="9"/>
      <c r="T36" s="10"/>
      <c r="U36" s="11"/>
      <c r="V36" s="12"/>
      <c r="W36" s="13"/>
      <c r="Y36" s="6"/>
      <c r="Z36" s="7"/>
      <c r="AA36" s="8"/>
      <c r="AB36" s="9"/>
      <c r="AD36" s="10"/>
      <c r="AE36" s="11"/>
      <c r="AF36" s="12"/>
      <c r="AG36" s="13"/>
      <c r="AI36" s="6"/>
      <c r="AJ36" s="7"/>
      <c r="AK36" s="8"/>
      <c r="AL36" s="9"/>
      <c r="AN36" s="10"/>
      <c r="AO36" s="11"/>
      <c r="AP36" s="12"/>
      <c r="AQ36" s="13"/>
      <c r="AS36" s="6"/>
      <c r="AT36" s="7"/>
      <c r="AU36" s="8"/>
      <c r="AV36" s="9"/>
      <c r="AX36" s="10"/>
      <c r="AY36" s="11"/>
      <c r="AZ36" s="12"/>
      <c r="BA36" s="13"/>
      <c r="BC36" s="6"/>
      <c r="BD36" s="7"/>
      <c r="BE36" s="8"/>
      <c r="BF36" s="9"/>
      <c r="BG36" s="4"/>
      <c r="BH36" s="46">
        <f t="shared" si="2"/>
        <v>0</v>
      </c>
      <c r="BI36" s="47">
        <f t="shared" si="3"/>
        <v>0</v>
      </c>
    </row>
    <row r="37" spans="1:61" x14ac:dyDescent="0.25">
      <c r="A37" s="44" t="s">
        <v>269</v>
      </c>
      <c r="B37" s="45">
        <v>4</v>
      </c>
      <c r="C37" s="44" t="s">
        <v>49</v>
      </c>
      <c r="D37" t="s">
        <v>55</v>
      </c>
      <c r="E37" s="6"/>
      <c r="F37" s="7"/>
      <c r="G37" s="8"/>
      <c r="H37" s="9"/>
      <c r="J37" s="10"/>
      <c r="K37" s="11"/>
      <c r="L37" s="12"/>
      <c r="M37" s="13"/>
      <c r="O37" s="6"/>
      <c r="P37" s="7"/>
      <c r="Q37" s="8"/>
      <c r="R37" s="9"/>
      <c r="T37" s="10"/>
      <c r="U37" s="11"/>
      <c r="V37" s="12"/>
      <c r="W37" s="13"/>
      <c r="Y37" s="6"/>
      <c r="Z37" s="7"/>
      <c r="AA37" s="8"/>
      <c r="AB37" s="9"/>
      <c r="AD37" s="10"/>
      <c r="AE37" s="11"/>
      <c r="AF37" s="12"/>
      <c r="AG37" s="13"/>
      <c r="AI37" s="6"/>
      <c r="AJ37" s="7"/>
      <c r="AK37" s="8"/>
      <c r="AL37" s="9">
        <v>1</v>
      </c>
      <c r="AN37" s="10"/>
      <c r="AO37" s="11"/>
      <c r="AP37" s="12"/>
      <c r="AQ37" s="13"/>
      <c r="AS37" s="6"/>
      <c r="AT37" s="7"/>
      <c r="AU37" s="8"/>
      <c r="AV37" s="9"/>
      <c r="AX37" s="10"/>
      <c r="AY37" s="11"/>
      <c r="AZ37" s="12"/>
      <c r="BA37" s="13"/>
      <c r="BC37" s="6"/>
      <c r="BD37" s="7"/>
      <c r="BE37" s="8"/>
      <c r="BF37" s="9"/>
      <c r="BG37" s="4"/>
      <c r="BH37" s="46">
        <f t="shared" si="2"/>
        <v>1</v>
      </c>
      <c r="BI37" s="47">
        <f t="shared" si="3"/>
        <v>0.3</v>
      </c>
    </row>
    <row r="38" spans="1:61" x14ac:dyDescent="0.25">
      <c r="A38" s="44" t="s">
        <v>270</v>
      </c>
      <c r="B38" s="45">
        <v>4</v>
      </c>
      <c r="C38" s="44" t="s">
        <v>49</v>
      </c>
      <c r="D38" t="s">
        <v>55</v>
      </c>
      <c r="E38" s="6"/>
      <c r="F38" s="7">
        <v>2</v>
      </c>
      <c r="G38" s="8">
        <v>1</v>
      </c>
      <c r="H38" s="9"/>
      <c r="J38" s="10"/>
      <c r="K38" s="11"/>
      <c r="L38" s="12"/>
      <c r="M38" s="13"/>
      <c r="O38" s="6"/>
      <c r="P38" s="7"/>
      <c r="Q38" s="8"/>
      <c r="R38" s="9"/>
      <c r="T38" s="10"/>
      <c r="U38" s="11"/>
      <c r="V38" s="12"/>
      <c r="W38" s="13"/>
      <c r="Y38" s="6"/>
      <c r="Z38" s="7"/>
      <c r="AA38" s="8"/>
      <c r="AB38" s="9"/>
      <c r="AD38" s="10"/>
      <c r="AE38" s="11"/>
      <c r="AF38" s="12"/>
      <c r="AG38" s="13"/>
      <c r="AI38" s="6"/>
      <c r="AJ38" s="7"/>
      <c r="AK38" s="8"/>
      <c r="AL38" s="9"/>
      <c r="AN38" s="10"/>
      <c r="AO38" s="11"/>
      <c r="AP38" s="12"/>
      <c r="AQ38" s="13"/>
      <c r="AS38" s="6"/>
      <c r="AT38" s="7"/>
      <c r="AU38" s="8"/>
      <c r="AV38" s="9"/>
      <c r="AX38" s="10"/>
      <c r="AY38" s="11"/>
      <c r="AZ38" s="12"/>
      <c r="BA38" s="13"/>
      <c r="BC38" s="6"/>
      <c r="BD38" s="7"/>
      <c r="BE38" s="8"/>
      <c r="BF38" s="9"/>
      <c r="BG38" s="4"/>
      <c r="BH38" s="46">
        <f t="shared" si="2"/>
        <v>3</v>
      </c>
      <c r="BI38" s="47">
        <f t="shared" si="3"/>
        <v>0.89999999999999991</v>
      </c>
    </row>
    <row r="39" spans="1:61" x14ac:dyDescent="0.25">
      <c r="A39" s="44" t="s">
        <v>271</v>
      </c>
      <c r="B39" s="45">
        <v>4</v>
      </c>
      <c r="C39" s="44" t="s">
        <v>49</v>
      </c>
      <c r="D39" t="s">
        <v>55</v>
      </c>
      <c r="E39" s="6"/>
      <c r="F39" s="7">
        <v>3</v>
      </c>
      <c r="G39" s="8">
        <v>1</v>
      </c>
      <c r="H39" s="9"/>
      <c r="J39" s="10">
        <v>2</v>
      </c>
      <c r="K39" s="11"/>
      <c r="L39" s="12"/>
      <c r="M39" s="13"/>
      <c r="O39" s="6"/>
      <c r="P39" s="7"/>
      <c r="Q39" s="8"/>
      <c r="R39" s="9"/>
      <c r="T39" s="10"/>
      <c r="U39" s="11"/>
      <c r="V39" s="12"/>
      <c r="W39" s="13"/>
      <c r="Y39" s="6"/>
      <c r="Z39" s="7"/>
      <c r="AA39" s="8"/>
      <c r="AB39" s="9"/>
      <c r="AD39" s="10"/>
      <c r="AE39" s="11"/>
      <c r="AF39" s="12"/>
      <c r="AG39" s="13"/>
      <c r="AI39" s="6"/>
      <c r="AJ39" s="7"/>
      <c r="AK39" s="8"/>
      <c r="AL39" s="9"/>
      <c r="AN39" s="10"/>
      <c r="AO39" s="11"/>
      <c r="AP39" s="12"/>
      <c r="AQ39" s="13"/>
      <c r="AS39" s="6"/>
      <c r="AT39" s="7"/>
      <c r="AU39" s="8"/>
      <c r="AV39" s="9"/>
      <c r="AX39" s="10"/>
      <c r="AY39" s="11"/>
      <c r="AZ39" s="12"/>
      <c r="BA39" s="13"/>
      <c r="BC39" s="6"/>
      <c r="BD39" s="7"/>
      <c r="BE39" s="8"/>
      <c r="BF39" s="9"/>
      <c r="BG39" s="4"/>
      <c r="BH39" s="46">
        <f t="shared" si="2"/>
        <v>6</v>
      </c>
      <c r="BI39" s="47">
        <f t="shared" si="3"/>
        <v>1.7999999999999998</v>
      </c>
    </row>
    <row r="40" spans="1:61" x14ac:dyDescent="0.25">
      <c r="A40" s="44" t="s">
        <v>272</v>
      </c>
      <c r="B40" s="45">
        <v>4</v>
      </c>
      <c r="C40" s="44" t="s">
        <v>49</v>
      </c>
      <c r="D40" t="s">
        <v>55</v>
      </c>
      <c r="E40" s="6"/>
      <c r="F40" s="7"/>
      <c r="G40" s="8"/>
      <c r="H40" s="9"/>
      <c r="J40" s="10"/>
      <c r="K40" s="11"/>
      <c r="L40" s="12"/>
      <c r="M40" s="13"/>
      <c r="O40" s="6"/>
      <c r="P40" s="7"/>
      <c r="Q40" s="8"/>
      <c r="R40" s="9"/>
      <c r="T40" s="10"/>
      <c r="U40" s="11"/>
      <c r="V40" s="12"/>
      <c r="W40" s="13"/>
      <c r="Y40" s="6"/>
      <c r="Z40" s="7"/>
      <c r="AA40" s="8"/>
      <c r="AB40" s="9"/>
      <c r="AD40" s="10"/>
      <c r="AE40" s="11"/>
      <c r="AF40" s="12"/>
      <c r="AG40" s="13"/>
      <c r="AI40" s="6"/>
      <c r="AJ40" s="7"/>
      <c r="AK40" s="8"/>
      <c r="AL40" s="9"/>
      <c r="AN40" s="10"/>
      <c r="AO40" s="11"/>
      <c r="AP40" s="12"/>
      <c r="AQ40" s="13"/>
      <c r="AS40" s="6"/>
      <c r="AT40" s="7"/>
      <c r="AU40" s="8"/>
      <c r="AV40" s="9"/>
      <c r="AX40" s="10"/>
      <c r="AY40" s="11"/>
      <c r="AZ40" s="12"/>
      <c r="BA40" s="13"/>
      <c r="BC40" s="6"/>
      <c r="BD40" s="7"/>
      <c r="BE40" s="8"/>
      <c r="BF40" s="9"/>
      <c r="BG40" s="4"/>
      <c r="BH40" s="46">
        <f t="shared" si="2"/>
        <v>0</v>
      </c>
      <c r="BI40" s="47">
        <f t="shared" si="3"/>
        <v>0</v>
      </c>
    </row>
    <row r="41" spans="1:61" x14ac:dyDescent="0.25">
      <c r="A41" s="44" t="s">
        <v>273</v>
      </c>
      <c r="B41" s="45">
        <v>6</v>
      </c>
      <c r="C41" s="44" t="s">
        <v>49</v>
      </c>
      <c r="D41" t="s">
        <v>50</v>
      </c>
      <c r="E41" s="6"/>
      <c r="F41" s="7"/>
      <c r="G41" s="8"/>
      <c r="H41" s="9"/>
      <c r="J41" s="10"/>
      <c r="K41" s="11">
        <v>6</v>
      </c>
      <c r="L41" s="12"/>
      <c r="M41" s="13">
        <v>3</v>
      </c>
      <c r="O41" s="6"/>
      <c r="P41" s="7"/>
      <c r="Q41" s="8"/>
      <c r="R41" s="9"/>
      <c r="T41" s="10"/>
      <c r="U41" s="11">
        <v>5</v>
      </c>
      <c r="V41" s="12"/>
      <c r="W41" s="13"/>
      <c r="Y41" s="6"/>
      <c r="Z41" s="7"/>
      <c r="AA41" s="8"/>
      <c r="AB41" s="9"/>
      <c r="AD41" s="10"/>
      <c r="AE41" s="11"/>
      <c r="AF41" s="12"/>
      <c r="AG41" s="13"/>
      <c r="AI41" s="6"/>
      <c r="AJ41" s="7">
        <v>5</v>
      </c>
      <c r="AK41" s="8"/>
      <c r="AL41" s="9">
        <v>3</v>
      </c>
      <c r="AN41" s="10"/>
      <c r="AO41" s="11"/>
      <c r="AP41" s="12"/>
      <c r="AQ41" s="13"/>
      <c r="AS41" s="6"/>
      <c r="AT41" s="7"/>
      <c r="AU41" s="8"/>
      <c r="AV41" s="9"/>
      <c r="AX41" s="10"/>
      <c r="AY41" s="11"/>
      <c r="AZ41" s="12"/>
      <c r="BA41" s="13"/>
      <c r="BC41" s="6"/>
      <c r="BD41" s="7"/>
      <c r="BE41" s="8"/>
      <c r="BF41" s="9"/>
      <c r="BG41" s="4"/>
      <c r="BH41" s="46">
        <f t="shared" si="2"/>
        <v>22</v>
      </c>
      <c r="BI41" s="47">
        <f t="shared" si="3"/>
        <v>6.6</v>
      </c>
    </row>
    <row r="42" spans="1:61" x14ac:dyDescent="0.25">
      <c r="A42" s="44" t="s">
        <v>274</v>
      </c>
      <c r="B42" s="45">
        <v>6</v>
      </c>
      <c r="C42" s="44" t="s">
        <v>49</v>
      </c>
      <c r="D42" t="s">
        <v>50</v>
      </c>
      <c r="E42" s="6"/>
      <c r="F42" s="7"/>
      <c r="G42" s="8"/>
      <c r="H42" s="9"/>
      <c r="J42" s="10"/>
      <c r="K42" s="11"/>
      <c r="L42" s="12"/>
      <c r="M42" s="13"/>
      <c r="O42" s="6"/>
      <c r="P42" s="7"/>
      <c r="Q42" s="8"/>
      <c r="R42" s="9"/>
      <c r="T42" s="10"/>
      <c r="U42" s="11"/>
      <c r="V42" s="12"/>
      <c r="W42" s="13"/>
      <c r="Y42" s="6"/>
      <c r="Z42" s="7"/>
      <c r="AA42" s="8"/>
      <c r="AB42" s="9"/>
      <c r="AD42" s="10"/>
      <c r="AE42" s="11"/>
      <c r="AF42" s="12"/>
      <c r="AG42" s="13"/>
      <c r="AI42" s="6"/>
      <c r="AJ42" s="7"/>
      <c r="AK42" s="8"/>
      <c r="AL42" s="9"/>
      <c r="AN42" s="10"/>
      <c r="AO42" s="11"/>
      <c r="AP42" s="12"/>
      <c r="AQ42" s="13"/>
      <c r="AS42" s="6"/>
      <c r="AT42" s="7"/>
      <c r="AU42" s="8"/>
      <c r="AV42" s="9"/>
      <c r="AX42" s="10"/>
      <c r="AY42" s="11"/>
      <c r="AZ42" s="12"/>
      <c r="BA42" s="13"/>
      <c r="BC42" s="6"/>
      <c r="BD42" s="7"/>
      <c r="BE42" s="8"/>
      <c r="BF42" s="9"/>
      <c r="BG42" s="4"/>
      <c r="BH42" s="46">
        <f t="shared" si="2"/>
        <v>0</v>
      </c>
      <c r="BI42" s="47">
        <f t="shared" si="3"/>
        <v>0</v>
      </c>
    </row>
    <row r="43" spans="1:61" x14ac:dyDescent="0.25">
      <c r="A43" s="44" t="s">
        <v>275</v>
      </c>
      <c r="B43" s="45">
        <v>6</v>
      </c>
      <c r="C43" s="44" t="s">
        <v>49</v>
      </c>
      <c r="D43" t="s">
        <v>50</v>
      </c>
      <c r="E43" s="6"/>
      <c r="F43" s="7">
        <v>2</v>
      </c>
      <c r="G43" s="8"/>
      <c r="H43" s="9"/>
      <c r="J43" s="10"/>
      <c r="K43" s="11"/>
      <c r="L43" s="12"/>
      <c r="M43" s="13"/>
      <c r="O43" s="6"/>
      <c r="P43" s="7"/>
      <c r="Q43" s="8"/>
      <c r="R43" s="9"/>
      <c r="T43" s="10"/>
      <c r="U43" s="11"/>
      <c r="V43" s="12"/>
      <c r="W43" s="13"/>
      <c r="Y43" s="6"/>
      <c r="Z43" s="7"/>
      <c r="AA43" s="8"/>
      <c r="AB43" s="9"/>
      <c r="AD43" s="10"/>
      <c r="AE43" s="11"/>
      <c r="AF43" s="12"/>
      <c r="AG43" s="13"/>
      <c r="AI43" s="6"/>
      <c r="AJ43" s="7"/>
      <c r="AK43" s="8"/>
      <c r="AL43" s="9"/>
      <c r="AN43" s="10"/>
      <c r="AO43" s="11"/>
      <c r="AP43" s="12"/>
      <c r="AQ43" s="13"/>
      <c r="AS43" s="6"/>
      <c r="AT43" s="7"/>
      <c r="AU43" s="8"/>
      <c r="AV43" s="9"/>
      <c r="AX43" s="10"/>
      <c r="AY43" s="11"/>
      <c r="AZ43" s="12"/>
      <c r="BA43" s="13"/>
      <c r="BC43" s="6"/>
      <c r="BD43" s="7"/>
      <c r="BE43" s="8"/>
      <c r="BF43" s="9"/>
      <c r="BG43" s="4"/>
      <c r="BH43" s="46">
        <f t="shared" si="2"/>
        <v>2</v>
      </c>
      <c r="BI43" s="47">
        <f t="shared" si="3"/>
        <v>0.6</v>
      </c>
    </row>
    <row r="44" spans="1:61" x14ac:dyDescent="0.25">
      <c r="A44" s="44" t="s">
        <v>276</v>
      </c>
      <c r="B44" s="45">
        <v>6</v>
      </c>
      <c r="C44" s="44" t="s">
        <v>49</v>
      </c>
      <c r="D44" t="s">
        <v>50</v>
      </c>
      <c r="E44" s="6"/>
      <c r="F44" s="7"/>
      <c r="G44" s="8">
        <v>2</v>
      </c>
      <c r="H44" s="9"/>
      <c r="J44" s="10"/>
      <c r="K44" s="11">
        <v>6</v>
      </c>
      <c r="L44" s="12"/>
      <c r="M44" s="13">
        <v>7</v>
      </c>
      <c r="O44" s="6"/>
      <c r="P44" s="7"/>
      <c r="Q44" s="8">
        <v>4</v>
      </c>
      <c r="R44" s="9"/>
      <c r="T44" s="10"/>
      <c r="U44" s="11"/>
      <c r="V44" s="12"/>
      <c r="W44" s="13"/>
      <c r="Y44" s="6"/>
      <c r="Z44" s="7"/>
      <c r="AA44" s="8"/>
      <c r="AB44" s="9"/>
      <c r="AD44" s="10"/>
      <c r="AE44" s="11"/>
      <c r="AF44" s="12"/>
      <c r="AG44" s="13"/>
      <c r="AI44" s="6"/>
      <c r="AJ44" s="7"/>
      <c r="AK44" s="8"/>
      <c r="AL44" s="9"/>
      <c r="AN44" s="10"/>
      <c r="AO44" s="11"/>
      <c r="AP44" s="12"/>
      <c r="AQ44" s="13"/>
      <c r="AS44" s="6"/>
      <c r="AT44" s="7"/>
      <c r="AU44" s="8"/>
      <c r="AV44" s="9"/>
      <c r="AX44" s="10"/>
      <c r="AY44" s="11"/>
      <c r="AZ44" s="12"/>
      <c r="BA44" s="13"/>
      <c r="BC44" s="6"/>
      <c r="BD44" s="7"/>
      <c r="BE44" s="8"/>
      <c r="BF44" s="9"/>
      <c r="BG44" s="4"/>
      <c r="BH44" s="46">
        <f t="shared" si="2"/>
        <v>19</v>
      </c>
      <c r="BI44" s="47">
        <f t="shared" si="3"/>
        <v>5.7</v>
      </c>
    </row>
    <row r="45" spans="1:61" x14ac:dyDescent="0.25">
      <c r="A45" s="44" t="s">
        <v>277</v>
      </c>
      <c r="B45" s="45">
        <v>6</v>
      </c>
      <c r="C45" s="44" t="s">
        <v>49</v>
      </c>
      <c r="D45" t="s">
        <v>51</v>
      </c>
      <c r="E45" s="6"/>
      <c r="F45" s="7">
        <v>6</v>
      </c>
      <c r="G45" s="8">
        <v>2</v>
      </c>
      <c r="H45" s="9"/>
      <c r="J45" s="10"/>
      <c r="K45" s="11">
        <v>3</v>
      </c>
      <c r="L45" s="12"/>
      <c r="M45" s="13">
        <v>4</v>
      </c>
      <c r="O45" s="6"/>
      <c r="P45" s="7"/>
      <c r="Q45" s="8"/>
      <c r="R45" s="9"/>
      <c r="T45" s="10"/>
      <c r="U45" s="11"/>
      <c r="V45" s="12"/>
      <c r="W45" s="13"/>
      <c r="Y45" s="6"/>
      <c r="Z45" s="7"/>
      <c r="AA45" s="8"/>
      <c r="AB45" s="9"/>
      <c r="AD45" s="10"/>
      <c r="AE45" s="11"/>
      <c r="AF45" s="12"/>
      <c r="AG45" s="13"/>
      <c r="AI45" s="6"/>
      <c r="AJ45" s="7"/>
      <c r="AK45" s="8"/>
      <c r="AL45" s="9"/>
      <c r="AN45" s="10"/>
      <c r="AO45" s="11"/>
      <c r="AP45" s="12"/>
      <c r="AQ45" s="13"/>
      <c r="AS45" s="6"/>
      <c r="AT45" s="7"/>
      <c r="AU45" s="8"/>
      <c r="AV45" s="9"/>
      <c r="AX45" s="10"/>
      <c r="AY45" s="11"/>
      <c r="AZ45" s="12"/>
      <c r="BA45" s="13"/>
      <c r="BC45" s="6"/>
      <c r="BD45" s="7"/>
      <c r="BE45" s="8"/>
      <c r="BF45" s="9"/>
      <c r="BG45" s="4"/>
      <c r="BH45" s="46">
        <f t="shared" si="2"/>
        <v>15</v>
      </c>
      <c r="BI45" s="47">
        <f t="shared" si="3"/>
        <v>4.5</v>
      </c>
    </row>
    <row r="46" spans="1:61" x14ac:dyDescent="0.25">
      <c r="A46" s="44" t="s">
        <v>278</v>
      </c>
      <c r="B46" s="45">
        <v>6</v>
      </c>
      <c r="C46" s="44" t="s">
        <v>49</v>
      </c>
      <c r="D46" t="s">
        <v>51</v>
      </c>
      <c r="E46" s="6"/>
      <c r="F46" s="7"/>
      <c r="G46" s="8"/>
      <c r="H46" s="9"/>
      <c r="J46" s="10"/>
      <c r="K46" s="11"/>
      <c r="L46" s="12"/>
      <c r="M46" s="13"/>
      <c r="O46" s="6"/>
      <c r="P46" s="7"/>
      <c r="Q46" s="8"/>
      <c r="R46" s="9"/>
      <c r="T46" s="10"/>
      <c r="U46" s="11"/>
      <c r="V46" s="12"/>
      <c r="W46" s="13"/>
      <c r="Y46" s="6"/>
      <c r="Z46" s="7"/>
      <c r="AA46" s="8"/>
      <c r="AB46" s="9"/>
      <c r="AD46" s="10"/>
      <c r="AE46" s="11"/>
      <c r="AF46" s="12"/>
      <c r="AG46" s="13"/>
      <c r="AI46" s="6"/>
      <c r="AJ46" s="7"/>
      <c r="AK46" s="8"/>
      <c r="AL46" s="9"/>
      <c r="AN46" s="10"/>
      <c r="AO46" s="11"/>
      <c r="AP46" s="12"/>
      <c r="AQ46" s="13"/>
      <c r="AS46" s="6"/>
      <c r="AT46" s="7"/>
      <c r="AU46" s="8"/>
      <c r="AV46" s="9"/>
      <c r="AX46" s="10"/>
      <c r="AY46" s="11"/>
      <c r="AZ46" s="12"/>
      <c r="BA46" s="13"/>
      <c r="BC46" s="6"/>
      <c r="BD46" s="7"/>
      <c r="BE46" s="8"/>
      <c r="BF46" s="9"/>
      <c r="BG46" s="4"/>
      <c r="BH46" s="46">
        <f t="shared" si="2"/>
        <v>0</v>
      </c>
      <c r="BI46" s="47">
        <f t="shared" si="3"/>
        <v>0</v>
      </c>
    </row>
    <row r="47" spans="1:61" x14ac:dyDescent="0.25">
      <c r="A47" s="44" t="s">
        <v>246</v>
      </c>
      <c r="B47" s="45">
        <v>6</v>
      </c>
      <c r="C47" s="44" t="s">
        <v>49</v>
      </c>
      <c r="D47" t="s">
        <v>51</v>
      </c>
      <c r="E47" s="6"/>
      <c r="F47" s="7"/>
      <c r="G47" s="8"/>
      <c r="H47" s="9"/>
      <c r="J47" s="10"/>
      <c r="K47" s="11"/>
      <c r="L47" s="12"/>
      <c r="M47" s="13"/>
      <c r="O47" s="6"/>
      <c r="P47" s="7"/>
      <c r="Q47" s="8"/>
      <c r="R47" s="9"/>
      <c r="T47" s="10"/>
      <c r="U47" s="11"/>
      <c r="V47" s="12"/>
      <c r="W47" s="13"/>
      <c r="Y47" s="6"/>
      <c r="Z47" s="7"/>
      <c r="AA47" s="8"/>
      <c r="AB47" s="9"/>
      <c r="AD47" s="10"/>
      <c r="AE47" s="11"/>
      <c r="AF47" s="12"/>
      <c r="AG47" s="13"/>
      <c r="AI47" s="6"/>
      <c r="AJ47" s="7"/>
      <c r="AK47" s="8"/>
      <c r="AL47" s="9"/>
      <c r="AN47" s="10"/>
      <c r="AO47" s="11"/>
      <c r="AP47" s="12"/>
      <c r="AQ47" s="13"/>
      <c r="AS47" s="6"/>
      <c r="AT47" s="7"/>
      <c r="AU47" s="8"/>
      <c r="AV47" s="9"/>
      <c r="AX47" s="10"/>
      <c r="AY47" s="11"/>
      <c r="AZ47" s="12"/>
      <c r="BA47" s="13"/>
      <c r="BC47" s="6"/>
      <c r="BD47" s="7"/>
      <c r="BE47" s="8"/>
      <c r="BF47" s="9"/>
      <c r="BG47" s="4"/>
      <c r="BH47" s="46">
        <f t="shared" si="2"/>
        <v>0</v>
      </c>
      <c r="BI47" s="47">
        <f t="shared" si="3"/>
        <v>0</v>
      </c>
    </row>
    <row r="48" spans="1:61" x14ac:dyDescent="0.25">
      <c r="A48" s="44" t="s">
        <v>245</v>
      </c>
      <c r="B48" s="45">
        <v>7</v>
      </c>
      <c r="C48" s="44" t="s">
        <v>49</v>
      </c>
      <c r="D48" t="s">
        <v>51</v>
      </c>
      <c r="E48" s="6"/>
      <c r="F48" s="7"/>
      <c r="G48" s="8"/>
      <c r="H48" s="9"/>
      <c r="J48" s="10"/>
      <c r="K48" s="11"/>
      <c r="L48" s="12"/>
      <c r="M48" s="13"/>
      <c r="O48" s="6"/>
      <c r="P48" s="7"/>
      <c r="Q48" s="8"/>
      <c r="R48" s="9"/>
      <c r="T48" s="10"/>
      <c r="U48" s="11"/>
      <c r="V48" s="12"/>
      <c r="W48" s="13"/>
      <c r="Y48" s="6"/>
      <c r="Z48" s="7"/>
      <c r="AA48" s="8"/>
      <c r="AB48" s="9"/>
      <c r="AD48" s="10"/>
      <c r="AE48" s="11"/>
      <c r="AF48" s="12"/>
      <c r="AG48" s="13"/>
      <c r="AI48" s="6"/>
      <c r="AJ48" s="7"/>
      <c r="AK48" s="8"/>
      <c r="AL48" s="9"/>
      <c r="AN48" s="10"/>
      <c r="AO48" s="11"/>
      <c r="AP48" s="12"/>
      <c r="AQ48" s="13"/>
      <c r="AS48" s="6"/>
      <c r="AT48" s="7"/>
      <c r="AU48" s="8"/>
      <c r="AV48" s="9"/>
      <c r="AX48" s="10"/>
      <c r="AY48" s="11"/>
      <c r="AZ48" s="12"/>
      <c r="BA48" s="13"/>
      <c r="BC48" s="6"/>
      <c r="BD48" s="7"/>
      <c r="BE48" s="8"/>
      <c r="BF48" s="9"/>
      <c r="BG48" s="4"/>
      <c r="BH48" s="46">
        <f t="shared" si="2"/>
        <v>0</v>
      </c>
      <c r="BI48" s="47">
        <f t="shared" si="3"/>
        <v>0</v>
      </c>
    </row>
    <row r="49" spans="1:61" x14ac:dyDescent="0.25">
      <c r="A49" s="44" t="s">
        <v>244</v>
      </c>
      <c r="B49" s="45">
        <v>7</v>
      </c>
      <c r="C49" s="44" t="s">
        <v>49</v>
      </c>
      <c r="D49" t="s">
        <v>51</v>
      </c>
      <c r="E49" s="6"/>
      <c r="F49" s="7"/>
      <c r="G49" s="8"/>
      <c r="H49" s="9"/>
      <c r="J49" s="10"/>
      <c r="K49" s="11"/>
      <c r="L49" s="12"/>
      <c r="M49" s="13"/>
      <c r="O49" s="6"/>
      <c r="P49" s="7"/>
      <c r="Q49" s="8"/>
      <c r="R49" s="9"/>
      <c r="T49" s="10"/>
      <c r="U49" s="11"/>
      <c r="V49" s="12"/>
      <c r="W49" s="13"/>
      <c r="Y49" s="6"/>
      <c r="Z49" s="7"/>
      <c r="AA49" s="8"/>
      <c r="AB49" s="9"/>
      <c r="AD49" s="10"/>
      <c r="AE49" s="11"/>
      <c r="AF49" s="12"/>
      <c r="AG49" s="13">
        <v>2</v>
      </c>
      <c r="AI49" s="6"/>
      <c r="AJ49" s="7"/>
      <c r="AK49" s="8"/>
      <c r="AL49" s="9"/>
      <c r="AN49" s="10"/>
      <c r="AO49" s="11"/>
      <c r="AP49" s="12"/>
      <c r="AQ49" s="13"/>
      <c r="AS49" s="6"/>
      <c r="AT49" s="7"/>
      <c r="AU49" s="8"/>
      <c r="AV49" s="9"/>
      <c r="AX49" s="10"/>
      <c r="AY49" s="11"/>
      <c r="AZ49" s="12"/>
      <c r="BA49" s="13"/>
      <c r="BC49" s="6"/>
      <c r="BD49" s="7"/>
      <c r="BE49" s="8"/>
      <c r="BF49" s="9"/>
      <c r="BG49" s="4"/>
      <c r="BH49" s="46">
        <f t="shared" si="2"/>
        <v>2</v>
      </c>
      <c r="BI49" s="47">
        <f t="shared" si="3"/>
        <v>0.6</v>
      </c>
    </row>
    <row r="50" spans="1:61" x14ac:dyDescent="0.25">
      <c r="A50" s="44" t="s">
        <v>243</v>
      </c>
      <c r="B50" s="45">
        <v>7</v>
      </c>
      <c r="C50" s="44" t="s">
        <v>49</v>
      </c>
      <c r="D50" t="s">
        <v>51</v>
      </c>
      <c r="E50" s="6"/>
      <c r="F50" s="7"/>
      <c r="G50" s="8"/>
      <c r="H50" s="9"/>
      <c r="J50" s="10"/>
      <c r="K50" s="11"/>
      <c r="L50" s="12"/>
      <c r="M50" s="13"/>
      <c r="O50" s="6"/>
      <c r="P50" s="7"/>
      <c r="Q50" s="8"/>
      <c r="R50" s="9"/>
      <c r="T50" s="10"/>
      <c r="U50" s="11"/>
      <c r="V50" s="12"/>
      <c r="W50" s="13"/>
      <c r="Y50" s="6"/>
      <c r="Z50" s="7"/>
      <c r="AA50" s="8"/>
      <c r="AB50" s="9"/>
      <c r="AD50" s="10"/>
      <c r="AE50" s="11"/>
      <c r="AF50" s="12"/>
      <c r="AG50" s="13"/>
      <c r="AI50" s="6"/>
      <c r="AJ50" s="7"/>
      <c r="AK50" s="8"/>
      <c r="AL50" s="9"/>
      <c r="AN50" s="10"/>
      <c r="AO50" s="11"/>
      <c r="AP50" s="12"/>
      <c r="AQ50" s="13"/>
      <c r="AS50" s="6"/>
      <c r="AT50" s="7"/>
      <c r="AU50" s="8"/>
      <c r="AV50" s="9"/>
      <c r="AX50" s="10"/>
      <c r="AY50" s="11"/>
      <c r="AZ50" s="12"/>
      <c r="BA50" s="13"/>
      <c r="BC50" s="6"/>
      <c r="BD50" s="7"/>
      <c r="BE50" s="8"/>
      <c r="BF50" s="9"/>
      <c r="BG50" s="4"/>
      <c r="BH50" s="46">
        <f t="shared" ref="BH50" si="6">SUM(E50:BF50)</f>
        <v>0</v>
      </c>
      <c r="BI50" s="47">
        <f t="shared" ref="BI50" si="7">(SUM(E50:BG50)*$D$2)</f>
        <v>0</v>
      </c>
    </row>
    <row r="51" spans="1:61" x14ac:dyDescent="0.25">
      <c r="A51" s="44" t="s">
        <v>358</v>
      </c>
      <c r="B51" s="45">
        <v>7</v>
      </c>
      <c r="C51" s="44" t="s">
        <v>49</v>
      </c>
      <c r="D51" t="s">
        <v>51</v>
      </c>
      <c r="E51" s="6"/>
      <c r="F51" s="7">
        <v>2</v>
      </c>
      <c r="G51" s="8"/>
      <c r="H51" s="9"/>
      <c r="J51" s="10"/>
      <c r="K51" s="11"/>
      <c r="L51" s="12"/>
      <c r="M51" s="13"/>
      <c r="O51" s="6"/>
      <c r="P51" s="7"/>
      <c r="Q51" s="8"/>
      <c r="R51" s="9"/>
      <c r="T51" s="10"/>
      <c r="U51" s="11"/>
      <c r="V51" s="12"/>
      <c r="W51" s="13"/>
      <c r="Y51" s="6"/>
      <c r="Z51" s="7"/>
      <c r="AA51" s="8"/>
      <c r="AB51" s="9"/>
      <c r="AD51" s="10"/>
      <c r="AE51" s="11"/>
      <c r="AF51" s="12"/>
      <c r="AG51" s="13"/>
      <c r="AI51" s="6"/>
      <c r="AJ51" s="7"/>
      <c r="AK51" s="8"/>
      <c r="AL51" s="9"/>
      <c r="AN51" s="10"/>
      <c r="AO51" s="11"/>
      <c r="AP51" s="12"/>
      <c r="AQ51" s="13"/>
      <c r="AS51" s="6"/>
      <c r="AT51" s="7"/>
      <c r="AU51" s="8"/>
      <c r="AV51" s="9"/>
      <c r="AX51" s="10"/>
      <c r="AY51" s="11"/>
      <c r="AZ51" s="12"/>
      <c r="BA51" s="13"/>
      <c r="BC51" s="6"/>
      <c r="BD51" s="7"/>
      <c r="BE51" s="8"/>
      <c r="BF51" s="9"/>
      <c r="BG51" s="4"/>
      <c r="BH51" s="46">
        <f t="shared" si="2"/>
        <v>2</v>
      </c>
      <c r="BI51" s="47">
        <f t="shared" si="3"/>
        <v>0.6</v>
      </c>
    </row>
    <row r="52" spans="1:61" x14ac:dyDescent="0.25">
      <c r="A52" s="44" t="s">
        <v>242</v>
      </c>
      <c r="B52" s="45">
        <v>8</v>
      </c>
      <c r="C52" s="44" t="s">
        <v>49</v>
      </c>
      <c r="D52" t="s">
        <v>61</v>
      </c>
      <c r="E52" s="6"/>
      <c r="F52" s="7"/>
      <c r="G52" s="8"/>
      <c r="H52" s="9"/>
      <c r="J52" s="10"/>
      <c r="K52" s="11"/>
      <c r="L52" s="12"/>
      <c r="M52" s="13"/>
      <c r="O52" s="6"/>
      <c r="P52" s="7"/>
      <c r="Q52" s="8"/>
      <c r="R52" s="9"/>
      <c r="T52" s="10"/>
      <c r="U52" s="11"/>
      <c r="V52" s="12"/>
      <c r="W52" s="13"/>
      <c r="Y52" s="6"/>
      <c r="Z52" s="7"/>
      <c r="AA52" s="8"/>
      <c r="AB52" s="9"/>
      <c r="AD52" s="10"/>
      <c r="AE52" s="11"/>
      <c r="AF52" s="12"/>
      <c r="AG52" s="13"/>
      <c r="AI52" s="6"/>
      <c r="AJ52" s="7"/>
      <c r="AK52" s="8"/>
      <c r="AL52" s="9"/>
      <c r="AN52" s="10"/>
      <c r="AO52" s="11"/>
      <c r="AP52" s="12"/>
      <c r="AQ52" s="13"/>
      <c r="AS52" s="6"/>
      <c r="AT52" s="7"/>
      <c r="AU52" s="8"/>
      <c r="AV52" s="9"/>
      <c r="AX52" s="10"/>
      <c r="AY52" s="11"/>
      <c r="AZ52" s="12"/>
      <c r="BA52" s="13"/>
      <c r="BC52" s="6"/>
      <c r="BD52" s="7"/>
      <c r="BE52" s="8"/>
      <c r="BF52" s="9"/>
      <c r="BG52" s="4"/>
      <c r="BH52" s="46">
        <f t="shared" si="2"/>
        <v>0</v>
      </c>
      <c r="BI52" s="47">
        <f t="shared" si="3"/>
        <v>0</v>
      </c>
    </row>
    <row r="53" spans="1:61" x14ac:dyDescent="0.25">
      <c r="A53" s="44" t="s">
        <v>359</v>
      </c>
      <c r="B53" s="45">
        <v>8</v>
      </c>
      <c r="C53" s="44" t="s">
        <v>49</v>
      </c>
      <c r="D53" t="s">
        <v>61</v>
      </c>
      <c r="E53" s="6"/>
      <c r="F53" s="7"/>
      <c r="G53" s="8"/>
      <c r="H53" s="9"/>
      <c r="J53" s="10"/>
      <c r="K53" s="11"/>
      <c r="L53" s="12"/>
      <c r="M53" s="13"/>
      <c r="O53" s="6"/>
      <c r="P53" s="7"/>
      <c r="Q53" s="8"/>
      <c r="R53" s="9"/>
      <c r="T53" s="10"/>
      <c r="U53" s="11"/>
      <c r="V53" s="12"/>
      <c r="W53" s="13"/>
      <c r="Y53" s="6"/>
      <c r="Z53" s="7"/>
      <c r="AA53" s="8"/>
      <c r="AB53" s="9"/>
      <c r="AD53" s="10"/>
      <c r="AE53" s="11"/>
      <c r="AF53" s="12"/>
      <c r="AG53" s="13"/>
      <c r="AI53" s="6"/>
      <c r="AJ53" s="7"/>
      <c r="AK53" s="8"/>
      <c r="AL53" s="9"/>
      <c r="AN53" s="10"/>
      <c r="AO53" s="11"/>
      <c r="AP53" s="12"/>
      <c r="AQ53" s="13"/>
      <c r="AS53" s="6"/>
      <c r="AT53" s="7"/>
      <c r="AU53" s="8"/>
      <c r="AV53" s="9"/>
      <c r="AX53" s="10"/>
      <c r="AY53" s="11"/>
      <c r="AZ53" s="12"/>
      <c r="BA53" s="13"/>
      <c r="BC53" s="6"/>
      <c r="BD53" s="7"/>
      <c r="BE53" s="8"/>
      <c r="BF53" s="9"/>
      <c r="BG53" s="4"/>
      <c r="BH53" s="46">
        <f t="shared" si="2"/>
        <v>0</v>
      </c>
      <c r="BI53" s="47">
        <f t="shared" si="3"/>
        <v>0</v>
      </c>
    </row>
    <row r="54" spans="1:61" x14ac:dyDescent="0.25">
      <c r="A54" s="44" t="s">
        <v>360</v>
      </c>
      <c r="B54" s="45">
        <v>8</v>
      </c>
      <c r="C54" s="44" t="s">
        <v>49</v>
      </c>
      <c r="D54" t="s">
        <v>61</v>
      </c>
      <c r="E54" s="6"/>
      <c r="F54" s="7"/>
      <c r="G54" s="8"/>
      <c r="H54" s="9"/>
      <c r="J54" s="10"/>
      <c r="K54" s="11"/>
      <c r="L54" s="12"/>
      <c r="M54" s="13"/>
      <c r="O54" s="6"/>
      <c r="P54" s="7"/>
      <c r="Q54" s="8"/>
      <c r="R54" s="9"/>
      <c r="T54" s="10"/>
      <c r="U54" s="11"/>
      <c r="V54" s="12"/>
      <c r="W54" s="13"/>
      <c r="Y54" s="6"/>
      <c r="Z54" s="7"/>
      <c r="AA54" s="8"/>
      <c r="AB54" s="9"/>
      <c r="AD54" s="10"/>
      <c r="AE54" s="11"/>
      <c r="AF54" s="12"/>
      <c r="AG54" s="13"/>
      <c r="AI54" s="6"/>
      <c r="AJ54" s="7"/>
      <c r="AK54" s="8"/>
      <c r="AL54" s="9"/>
      <c r="AN54" s="10"/>
      <c r="AO54" s="11"/>
      <c r="AP54" s="12"/>
      <c r="AQ54" s="13"/>
      <c r="AS54" s="6"/>
      <c r="AT54" s="7"/>
      <c r="AU54" s="8"/>
      <c r="AV54" s="9"/>
      <c r="AX54" s="10"/>
      <c r="AY54" s="11"/>
      <c r="AZ54" s="12"/>
      <c r="BA54" s="13"/>
      <c r="BC54" s="6"/>
      <c r="BD54" s="7"/>
      <c r="BE54" s="8"/>
      <c r="BF54" s="9"/>
      <c r="BG54" s="4"/>
      <c r="BH54" s="46">
        <f t="shared" si="2"/>
        <v>0</v>
      </c>
      <c r="BI54" s="47">
        <f t="shared" si="3"/>
        <v>0</v>
      </c>
    </row>
    <row r="55" spans="1:61" x14ac:dyDescent="0.25">
      <c r="A55" s="44" t="s">
        <v>239</v>
      </c>
      <c r="B55" s="45">
        <v>9</v>
      </c>
      <c r="C55" s="44" t="s">
        <v>49</v>
      </c>
      <c r="D55" t="s">
        <v>57</v>
      </c>
      <c r="E55" s="6">
        <v>6</v>
      </c>
      <c r="F55" s="7">
        <v>15</v>
      </c>
      <c r="G55" s="8">
        <v>6</v>
      </c>
      <c r="H55" s="9"/>
      <c r="J55" s="10">
        <v>7</v>
      </c>
      <c r="K55" s="11">
        <v>10</v>
      </c>
      <c r="L55" s="12">
        <v>7</v>
      </c>
      <c r="M55" s="13">
        <v>8</v>
      </c>
      <c r="O55" s="6"/>
      <c r="P55" s="7">
        <v>5</v>
      </c>
      <c r="Q55" s="8">
        <v>5</v>
      </c>
      <c r="R55" s="9"/>
      <c r="T55" s="10"/>
      <c r="U55" s="11">
        <v>7</v>
      </c>
      <c r="V55" s="12">
        <v>5</v>
      </c>
      <c r="W55" s="13">
        <v>6</v>
      </c>
      <c r="Y55" s="6"/>
      <c r="Z55" s="7"/>
      <c r="AA55" s="8"/>
      <c r="AB55" s="9"/>
      <c r="AD55" s="10"/>
      <c r="AE55" s="11"/>
      <c r="AF55" s="12">
        <v>6</v>
      </c>
      <c r="AG55" s="13">
        <v>4</v>
      </c>
      <c r="AI55" s="6"/>
      <c r="AJ55" s="7">
        <v>7</v>
      </c>
      <c r="AK55" s="8">
        <v>5</v>
      </c>
      <c r="AL55" s="9">
        <v>6</v>
      </c>
      <c r="AN55" s="10">
        <v>5</v>
      </c>
      <c r="AO55" s="11"/>
      <c r="AP55" s="12">
        <v>3</v>
      </c>
      <c r="AQ55" s="13"/>
      <c r="AS55" s="6"/>
      <c r="AT55" s="7"/>
      <c r="AU55" s="8"/>
      <c r="AV55" s="9"/>
      <c r="AX55" s="10"/>
      <c r="AY55" s="11"/>
      <c r="AZ55" s="12"/>
      <c r="BA55" s="13"/>
      <c r="BC55" s="6"/>
      <c r="BD55" s="7"/>
      <c r="BE55" s="8"/>
      <c r="BF55" s="9"/>
      <c r="BG55" s="4"/>
      <c r="BH55" s="46">
        <f t="shared" si="2"/>
        <v>123</v>
      </c>
      <c r="BI55" s="47">
        <f t="shared" si="3"/>
        <v>36.9</v>
      </c>
    </row>
    <row r="56" spans="1:61" x14ac:dyDescent="0.25">
      <c r="A56" s="44" t="s">
        <v>238</v>
      </c>
      <c r="B56" s="45">
        <v>9</v>
      </c>
      <c r="C56" s="44" t="s">
        <v>49</v>
      </c>
      <c r="D56" t="s">
        <v>57</v>
      </c>
      <c r="E56" s="6">
        <v>8</v>
      </c>
      <c r="F56" s="7">
        <v>4</v>
      </c>
      <c r="G56" s="8">
        <v>8</v>
      </c>
      <c r="H56" s="9"/>
      <c r="J56" s="10">
        <v>5</v>
      </c>
      <c r="K56" s="11"/>
      <c r="L56" s="12">
        <v>8</v>
      </c>
      <c r="M56" s="13"/>
      <c r="O56" s="6"/>
      <c r="P56" s="7">
        <v>6</v>
      </c>
      <c r="Q56" s="8">
        <v>6</v>
      </c>
      <c r="R56" s="9"/>
      <c r="T56" s="10"/>
      <c r="U56" s="11">
        <v>7</v>
      </c>
      <c r="V56" s="12">
        <v>4</v>
      </c>
      <c r="W56" s="13">
        <v>6</v>
      </c>
      <c r="Y56" s="6"/>
      <c r="Z56" s="7"/>
      <c r="AA56" s="8"/>
      <c r="AB56" s="9"/>
      <c r="AD56" s="10"/>
      <c r="AE56" s="11"/>
      <c r="AF56" s="12">
        <v>6</v>
      </c>
      <c r="AG56" s="13">
        <v>2</v>
      </c>
      <c r="AI56" s="6"/>
      <c r="AJ56" s="7">
        <v>7</v>
      </c>
      <c r="AK56" s="8">
        <v>4</v>
      </c>
      <c r="AL56" s="9">
        <v>6</v>
      </c>
      <c r="AN56" s="10"/>
      <c r="AO56" s="11"/>
      <c r="AP56" s="12"/>
      <c r="AQ56" s="13"/>
      <c r="AS56" s="6"/>
      <c r="AT56" s="7"/>
      <c r="AU56" s="8"/>
      <c r="AV56" s="9"/>
      <c r="AX56" s="10"/>
      <c r="AY56" s="11"/>
      <c r="AZ56" s="12"/>
      <c r="BA56" s="13"/>
      <c r="BC56" s="6"/>
      <c r="BD56" s="7"/>
      <c r="BE56" s="8"/>
      <c r="BF56" s="9"/>
      <c r="BG56" s="4"/>
      <c r="BH56" s="46">
        <f t="shared" si="2"/>
        <v>87</v>
      </c>
      <c r="BI56" s="47">
        <f t="shared" si="3"/>
        <v>26.099999999999998</v>
      </c>
    </row>
    <row r="57" spans="1:61" x14ac:dyDescent="0.25">
      <c r="A57" s="44" t="s">
        <v>237</v>
      </c>
      <c r="B57" s="45">
        <v>8</v>
      </c>
      <c r="C57" s="44" t="s">
        <v>49</v>
      </c>
      <c r="D57" t="s">
        <v>48</v>
      </c>
      <c r="E57" s="6"/>
      <c r="F57" s="7"/>
      <c r="G57" s="8"/>
      <c r="H57" s="9"/>
      <c r="J57" s="10"/>
      <c r="K57" s="11"/>
      <c r="L57" s="12"/>
      <c r="M57" s="13">
        <v>7</v>
      </c>
      <c r="O57" s="6"/>
      <c r="P57" s="7"/>
      <c r="Q57" s="8"/>
      <c r="R57" s="9"/>
      <c r="T57" s="10"/>
      <c r="U57" s="11"/>
      <c r="V57" s="12">
        <v>1</v>
      </c>
      <c r="W57" s="13">
        <v>1</v>
      </c>
      <c r="Y57" s="6"/>
      <c r="Z57" s="7"/>
      <c r="AA57" s="8"/>
      <c r="AB57" s="9"/>
      <c r="AD57" s="10"/>
      <c r="AE57" s="11"/>
      <c r="AF57" s="12"/>
      <c r="AG57" s="13"/>
      <c r="AI57" s="6"/>
      <c r="AJ57" s="7"/>
      <c r="AK57" s="8">
        <v>1</v>
      </c>
      <c r="AL57" s="9">
        <v>1</v>
      </c>
      <c r="AN57" s="10"/>
      <c r="AO57" s="11"/>
      <c r="AP57" s="12">
        <v>4</v>
      </c>
      <c r="AQ57" s="13"/>
      <c r="AS57" s="6"/>
      <c r="AT57" s="7"/>
      <c r="AU57" s="8"/>
      <c r="AV57" s="9"/>
      <c r="AX57" s="10"/>
      <c r="AY57" s="11"/>
      <c r="AZ57" s="12"/>
      <c r="BA57" s="13"/>
      <c r="BC57" s="6"/>
      <c r="BD57" s="7"/>
      <c r="BE57" s="8"/>
      <c r="BF57" s="9"/>
      <c r="BG57" s="4"/>
      <c r="BH57" s="46">
        <f t="shared" si="2"/>
        <v>15</v>
      </c>
      <c r="BI57" s="47">
        <f t="shared" si="3"/>
        <v>4.5</v>
      </c>
    </row>
    <row r="58" spans="1:61" x14ac:dyDescent="0.25">
      <c r="A58" s="44" t="s">
        <v>236</v>
      </c>
      <c r="B58" s="45">
        <v>8</v>
      </c>
      <c r="C58" s="44" t="s">
        <v>49</v>
      </c>
      <c r="D58" t="s">
        <v>48</v>
      </c>
      <c r="E58" s="6"/>
      <c r="F58" s="7"/>
      <c r="G58" s="8"/>
      <c r="H58" s="9"/>
      <c r="J58" s="10"/>
      <c r="K58" s="11"/>
      <c r="L58" s="12"/>
      <c r="M58" s="13">
        <v>4</v>
      </c>
      <c r="O58" s="6"/>
      <c r="P58" s="7"/>
      <c r="Q58" s="8"/>
      <c r="R58" s="9"/>
      <c r="T58" s="10"/>
      <c r="U58" s="11"/>
      <c r="V58" s="12"/>
      <c r="W58" s="13"/>
      <c r="Y58" s="6"/>
      <c r="Z58" s="7"/>
      <c r="AA58" s="8"/>
      <c r="AB58" s="9"/>
      <c r="AD58" s="10"/>
      <c r="AE58" s="11"/>
      <c r="AF58" s="12"/>
      <c r="AG58" s="13"/>
      <c r="AI58" s="6"/>
      <c r="AJ58" s="7"/>
      <c r="AK58" s="8"/>
      <c r="AL58" s="9">
        <v>4</v>
      </c>
      <c r="AN58" s="10"/>
      <c r="AO58" s="11"/>
      <c r="AP58" s="12"/>
      <c r="AQ58" s="13"/>
      <c r="AS58" s="6"/>
      <c r="AT58" s="7"/>
      <c r="AU58" s="8"/>
      <c r="AV58" s="9"/>
      <c r="AX58" s="10"/>
      <c r="AY58" s="11"/>
      <c r="AZ58" s="12"/>
      <c r="BA58" s="13"/>
      <c r="BC58" s="6"/>
      <c r="BD58" s="7"/>
      <c r="BE58" s="8"/>
      <c r="BF58" s="9"/>
      <c r="BG58" s="4"/>
      <c r="BH58" s="46">
        <f t="shared" si="2"/>
        <v>8</v>
      </c>
      <c r="BI58" s="47">
        <f t="shared" si="3"/>
        <v>2.4</v>
      </c>
    </row>
    <row r="59" spans="1:61" x14ac:dyDescent="0.25">
      <c r="A59" s="44" t="s">
        <v>235</v>
      </c>
      <c r="B59" s="45">
        <v>8</v>
      </c>
      <c r="C59" s="44" t="s">
        <v>49</v>
      </c>
      <c r="D59" t="s">
        <v>48</v>
      </c>
      <c r="E59" s="6"/>
      <c r="F59" s="7"/>
      <c r="G59" s="8"/>
      <c r="H59" s="9"/>
      <c r="J59" s="10"/>
      <c r="K59" s="11"/>
      <c r="L59" s="12"/>
      <c r="M59" s="13"/>
      <c r="O59" s="6"/>
      <c r="P59" s="7"/>
      <c r="Q59" s="8"/>
      <c r="R59" s="9"/>
      <c r="T59" s="10"/>
      <c r="U59" s="11"/>
      <c r="V59" s="12"/>
      <c r="W59" s="13"/>
      <c r="Y59" s="6"/>
      <c r="Z59" s="7"/>
      <c r="AA59" s="8"/>
      <c r="AB59" s="9"/>
      <c r="AD59" s="10"/>
      <c r="AE59" s="11"/>
      <c r="AF59" s="12"/>
      <c r="AG59" s="13"/>
      <c r="AI59" s="6"/>
      <c r="AJ59" s="7"/>
      <c r="AK59" s="8"/>
      <c r="AL59" s="9"/>
      <c r="AN59" s="10"/>
      <c r="AO59" s="11"/>
      <c r="AP59" s="12"/>
      <c r="AQ59" s="13"/>
      <c r="AS59" s="6"/>
      <c r="AT59" s="7"/>
      <c r="AU59" s="8"/>
      <c r="AV59" s="9"/>
      <c r="AX59" s="10"/>
      <c r="AY59" s="11"/>
      <c r="AZ59" s="12"/>
      <c r="BA59" s="13"/>
      <c r="BC59" s="6"/>
      <c r="BD59" s="7"/>
      <c r="BE59" s="8"/>
      <c r="BF59" s="9"/>
      <c r="BG59" s="4"/>
      <c r="BH59" s="46">
        <f t="shared" si="2"/>
        <v>0</v>
      </c>
      <c r="BI59" s="47">
        <f t="shared" si="3"/>
        <v>0</v>
      </c>
    </row>
    <row r="60" spans="1:61" x14ac:dyDescent="0.25">
      <c r="A60" s="44" t="s">
        <v>234</v>
      </c>
      <c r="B60" s="45">
        <v>8</v>
      </c>
      <c r="C60" s="44" t="s">
        <v>49</v>
      </c>
      <c r="D60" t="s">
        <v>48</v>
      </c>
      <c r="E60" s="6"/>
      <c r="F60" s="7"/>
      <c r="G60" s="8"/>
      <c r="H60" s="9"/>
      <c r="J60" s="10"/>
      <c r="K60" s="11"/>
      <c r="L60" s="12"/>
      <c r="M60" s="13"/>
      <c r="O60" s="6"/>
      <c r="P60" s="7"/>
      <c r="Q60" s="8"/>
      <c r="R60" s="9"/>
      <c r="T60" s="10"/>
      <c r="U60" s="11"/>
      <c r="V60" s="12"/>
      <c r="W60" s="13"/>
      <c r="Y60" s="6"/>
      <c r="Z60" s="7"/>
      <c r="AA60" s="8"/>
      <c r="AB60" s="9"/>
      <c r="AD60" s="10"/>
      <c r="AE60" s="11"/>
      <c r="AF60" s="12"/>
      <c r="AG60" s="13"/>
      <c r="AI60" s="6"/>
      <c r="AJ60" s="7"/>
      <c r="AK60" s="8"/>
      <c r="AL60" s="9"/>
      <c r="AN60" s="10"/>
      <c r="AO60" s="11"/>
      <c r="AP60" s="12"/>
      <c r="AQ60" s="13"/>
      <c r="AS60" s="6"/>
      <c r="AT60" s="7"/>
      <c r="AU60" s="8"/>
      <c r="AV60" s="9"/>
      <c r="AX60" s="10"/>
      <c r="AY60" s="11"/>
      <c r="AZ60" s="12"/>
      <c r="BA60" s="13"/>
      <c r="BC60" s="6"/>
      <c r="BD60" s="7"/>
      <c r="BE60" s="8"/>
      <c r="BF60" s="9"/>
      <c r="BG60" s="4"/>
      <c r="BH60" s="46">
        <f t="shared" si="2"/>
        <v>0</v>
      </c>
      <c r="BI60" s="47">
        <f t="shared" si="3"/>
        <v>0</v>
      </c>
    </row>
    <row r="61" spans="1:61" x14ac:dyDescent="0.25">
      <c r="A61" s="44" t="s">
        <v>361</v>
      </c>
      <c r="B61" s="45">
        <v>8</v>
      </c>
      <c r="C61" s="44" t="s">
        <v>49</v>
      </c>
      <c r="D61" t="s">
        <v>48</v>
      </c>
      <c r="E61" s="6"/>
      <c r="F61" s="7"/>
      <c r="G61" s="8"/>
      <c r="H61" s="9"/>
      <c r="J61" s="10"/>
      <c r="K61" s="11"/>
      <c r="L61" s="12"/>
      <c r="M61" s="13"/>
      <c r="O61" s="6"/>
      <c r="P61" s="7"/>
      <c r="Q61" s="8"/>
      <c r="R61" s="9"/>
      <c r="T61" s="10"/>
      <c r="U61" s="11"/>
      <c r="V61" s="12"/>
      <c r="W61" s="13"/>
      <c r="Y61" s="6"/>
      <c r="Z61" s="7"/>
      <c r="AA61" s="8"/>
      <c r="AB61" s="9"/>
      <c r="AD61" s="10"/>
      <c r="AE61" s="11"/>
      <c r="AF61" s="12"/>
      <c r="AG61" s="13"/>
      <c r="AI61" s="6"/>
      <c r="AJ61" s="7"/>
      <c r="AK61" s="8"/>
      <c r="AL61" s="9"/>
      <c r="AN61" s="10"/>
      <c r="AO61" s="11"/>
      <c r="AP61" s="12"/>
      <c r="AQ61" s="13"/>
      <c r="AS61" s="6"/>
      <c r="AT61" s="7"/>
      <c r="AU61" s="8"/>
      <c r="AV61" s="9"/>
      <c r="AX61" s="10"/>
      <c r="AY61" s="11"/>
      <c r="AZ61" s="12"/>
      <c r="BA61" s="13"/>
      <c r="BC61" s="6"/>
      <c r="BD61" s="7"/>
      <c r="BE61" s="8"/>
      <c r="BF61" s="9"/>
      <c r="BG61" s="4"/>
      <c r="BH61" s="46">
        <f t="shared" si="2"/>
        <v>0</v>
      </c>
      <c r="BI61" s="47">
        <f t="shared" si="3"/>
        <v>0</v>
      </c>
    </row>
    <row r="62" spans="1:61" x14ac:dyDescent="0.25">
      <c r="A62" s="44" t="s">
        <v>233</v>
      </c>
      <c r="B62" s="45">
        <v>9</v>
      </c>
      <c r="C62" s="44" t="s">
        <v>49</v>
      </c>
      <c r="D62" t="s">
        <v>48</v>
      </c>
      <c r="E62" s="6"/>
      <c r="F62" s="7"/>
      <c r="G62" s="8"/>
      <c r="H62" s="9"/>
      <c r="J62" s="10"/>
      <c r="K62" s="11"/>
      <c r="L62" s="12"/>
      <c r="M62" s="13"/>
      <c r="O62" s="6"/>
      <c r="P62" s="7"/>
      <c r="Q62" s="8"/>
      <c r="R62" s="9"/>
      <c r="T62" s="10"/>
      <c r="U62" s="11"/>
      <c r="V62" s="12"/>
      <c r="W62" s="13"/>
      <c r="Y62" s="6"/>
      <c r="Z62" s="7"/>
      <c r="AA62" s="8"/>
      <c r="AB62" s="9"/>
      <c r="AD62" s="10"/>
      <c r="AE62" s="11"/>
      <c r="AF62" s="12"/>
      <c r="AG62" s="13"/>
      <c r="AI62" s="6"/>
      <c r="AJ62" s="7"/>
      <c r="AK62" s="8">
        <v>3</v>
      </c>
      <c r="AL62" s="9"/>
      <c r="AN62" s="10"/>
      <c r="AO62" s="11"/>
      <c r="AP62" s="12"/>
      <c r="AQ62" s="13"/>
      <c r="AS62" s="6"/>
      <c r="AT62" s="7"/>
      <c r="AU62" s="8"/>
      <c r="AV62" s="9"/>
      <c r="AX62" s="10"/>
      <c r="AY62" s="11"/>
      <c r="AZ62" s="12"/>
      <c r="BA62" s="13"/>
      <c r="BC62" s="6"/>
      <c r="BD62" s="7"/>
      <c r="BE62" s="8"/>
      <c r="BF62" s="9"/>
      <c r="BG62" s="4"/>
      <c r="BH62" s="46">
        <f t="shared" si="2"/>
        <v>3</v>
      </c>
      <c r="BI62" s="47">
        <f t="shared" si="3"/>
        <v>0.89999999999999991</v>
      </c>
    </row>
    <row r="63" spans="1:61" x14ac:dyDescent="0.25">
      <c r="A63" s="44" t="s">
        <v>232</v>
      </c>
      <c r="B63" s="45">
        <v>9</v>
      </c>
      <c r="C63" s="44" t="s">
        <v>49</v>
      </c>
      <c r="D63" t="s">
        <v>48</v>
      </c>
      <c r="E63" s="6"/>
      <c r="F63" s="7"/>
      <c r="G63" s="8"/>
      <c r="H63" s="9"/>
      <c r="J63" s="10"/>
      <c r="K63" s="11"/>
      <c r="L63" s="12"/>
      <c r="M63" s="13"/>
      <c r="O63" s="6"/>
      <c r="P63" s="7"/>
      <c r="Q63" s="8"/>
      <c r="R63" s="9"/>
      <c r="T63" s="10"/>
      <c r="U63" s="11"/>
      <c r="V63" s="12"/>
      <c r="W63" s="13"/>
      <c r="Y63" s="6"/>
      <c r="Z63" s="7"/>
      <c r="AA63" s="8"/>
      <c r="AB63" s="9"/>
      <c r="AD63" s="10"/>
      <c r="AE63" s="11"/>
      <c r="AF63" s="12"/>
      <c r="AG63" s="13"/>
      <c r="AI63" s="6"/>
      <c r="AJ63" s="7"/>
      <c r="AK63" s="8"/>
      <c r="AL63" s="9"/>
      <c r="AN63" s="10"/>
      <c r="AO63" s="11"/>
      <c r="AP63" s="12"/>
      <c r="AQ63" s="13"/>
      <c r="AS63" s="6"/>
      <c r="AT63" s="7"/>
      <c r="AU63" s="8"/>
      <c r="AV63" s="9"/>
      <c r="AX63" s="10"/>
      <c r="AY63" s="11"/>
      <c r="AZ63" s="12"/>
      <c r="BA63" s="13"/>
      <c r="BC63" s="6"/>
      <c r="BD63" s="7"/>
      <c r="BE63" s="8"/>
      <c r="BF63" s="9"/>
      <c r="BG63" s="4"/>
      <c r="BH63" s="46">
        <f t="shared" si="2"/>
        <v>0</v>
      </c>
      <c r="BI63" s="47">
        <f t="shared" si="3"/>
        <v>0</v>
      </c>
    </row>
    <row r="64" spans="1:61" x14ac:dyDescent="0.25">
      <c r="A64" s="44" t="s">
        <v>227</v>
      </c>
      <c r="B64" s="45">
        <v>9</v>
      </c>
      <c r="C64" s="44" t="s">
        <v>49</v>
      </c>
      <c r="D64" t="s">
        <v>48</v>
      </c>
      <c r="E64" s="6">
        <v>1</v>
      </c>
      <c r="F64" s="7"/>
      <c r="G64" s="8"/>
      <c r="H64" s="9"/>
      <c r="J64" s="10"/>
      <c r="K64" s="11"/>
      <c r="L64" s="12"/>
      <c r="M64" s="13"/>
      <c r="O64" s="6"/>
      <c r="P64" s="7"/>
      <c r="Q64" s="8"/>
      <c r="R64" s="9"/>
      <c r="T64" s="10"/>
      <c r="U64" s="11"/>
      <c r="V64" s="12"/>
      <c r="W64" s="13"/>
      <c r="Y64" s="6"/>
      <c r="Z64" s="7"/>
      <c r="AA64" s="8"/>
      <c r="AB64" s="9"/>
      <c r="AD64" s="10"/>
      <c r="AE64" s="11"/>
      <c r="AF64" s="12"/>
      <c r="AG64" s="13"/>
      <c r="AI64" s="6"/>
      <c r="AJ64" s="7"/>
      <c r="AK64" s="8"/>
      <c r="AL64" s="9"/>
      <c r="AN64" s="10"/>
      <c r="AO64" s="11"/>
      <c r="AP64" s="12"/>
      <c r="AQ64" s="13"/>
      <c r="AS64" s="6"/>
      <c r="AT64" s="7"/>
      <c r="AU64" s="8"/>
      <c r="AV64" s="9"/>
      <c r="AX64" s="10"/>
      <c r="AY64" s="11"/>
      <c r="AZ64" s="12"/>
      <c r="BA64" s="13"/>
      <c r="BC64" s="6"/>
      <c r="BD64" s="7"/>
      <c r="BE64" s="8"/>
      <c r="BF64" s="9"/>
      <c r="BG64" s="4"/>
      <c r="BH64" s="46">
        <f t="shared" si="2"/>
        <v>1</v>
      </c>
      <c r="BI64" s="47">
        <f t="shared" si="3"/>
        <v>0.3</v>
      </c>
    </row>
    <row r="65" spans="1:61" x14ac:dyDescent="0.25">
      <c r="A65" s="44" t="s">
        <v>226</v>
      </c>
      <c r="B65" s="45">
        <v>1</v>
      </c>
      <c r="C65" s="44" t="s">
        <v>49</v>
      </c>
      <c r="D65" t="s">
        <v>62</v>
      </c>
      <c r="E65" s="6"/>
      <c r="F65" s="7"/>
      <c r="G65" s="8"/>
      <c r="H65" s="9"/>
      <c r="J65" s="10"/>
      <c r="K65" s="11"/>
      <c r="L65" s="12"/>
      <c r="M65" s="13"/>
      <c r="O65" s="6"/>
      <c r="P65" s="7"/>
      <c r="Q65" s="8"/>
      <c r="R65" s="9"/>
      <c r="T65" s="10"/>
      <c r="U65" s="11"/>
      <c r="V65" s="12"/>
      <c r="W65" s="13"/>
      <c r="Y65" s="6"/>
      <c r="Z65" s="7"/>
      <c r="AA65" s="8"/>
      <c r="AB65" s="9"/>
      <c r="AD65" s="10"/>
      <c r="AE65" s="11"/>
      <c r="AF65" s="12"/>
      <c r="AG65" s="13"/>
      <c r="AI65" s="6"/>
      <c r="AJ65" s="7"/>
      <c r="AK65" s="8"/>
      <c r="AL65" s="9"/>
      <c r="AN65" s="10"/>
      <c r="AO65" s="11"/>
      <c r="AP65" s="12"/>
      <c r="AQ65" s="13"/>
      <c r="AS65" s="6"/>
      <c r="AT65" s="7"/>
      <c r="AU65" s="8"/>
      <c r="AV65" s="9"/>
      <c r="AX65" s="10"/>
      <c r="AY65" s="11"/>
      <c r="AZ65" s="12"/>
      <c r="BA65" s="13"/>
      <c r="BC65" s="6"/>
      <c r="BD65" s="7"/>
      <c r="BE65" s="8"/>
      <c r="BF65" s="9"/>
      <c r="BG65" s="4"/>
      <c r="BH65" s="46">
        <f t="shared" si="2"/>
        <v>0</v>
      </c>
      <c r="BI65" s="47">
        <f t="shared" si="3"/>
        <v>0</v>
      </c>
    </row>
    <row r="66" spans="1:61" x14ac:dyDescent="0.25">
      <c r="A66" s="44" t="s">
        <v>225</v>
      </c>
      <c r="B66" s="45">
        <v>1</v>
      </c>
      <c r="C66" s="44" t="s">
        <v>49</v>
      </c>
      <c r="D66" t="s">
        <v>62</v>
      </c>
      <c r="E66" s="6"/>
      <c r="F66" s="7"/>
      <c r="G66" s="8"/>
      <c r="H66" s="9"/>
      <c r="J66" s="10"/>
      <c r="K66" s="11"/>
      <c r="L66" s="12"/>
      <c r="M66" s="13"/>
      <c r="O66" s="6"/>
      <c r="P66" s="7"/>
      <c r="Q66" s="8"/>
      <c r="R66" s="9"/>
      <c r="T66" s="10"/>
      <c r="U66" s="11"/>
      <c r="V66" s="12"/>
      <c r="W66" s="13"/>
      <c r="Y66" s="6"/>
      <c r="Z66" s="7"/>
      <c r="AA66" s="8"/>
      <c r="AB66" s="9"/>
      <c r="AD66" s="10"/>
      <c r="AE66" s="11"/>
      <c r="AF66" s="12"/>
      <c r="AG66" s="13"/>
      <c r="AI66" s="6"/>
      <c r="AJ66" s="7"/>
      <c r="AK66" s="8"/>
      <c r="AL66" s="9"/>
      <c r="AN66" s="10"/>
      <c r="AO66" s="11"/>
      <c r="AP66" s="12"/>
      <c r="AQ66" s="13"/>
      <c r="AS66" s="6"/>
      <c r="AT66" s="7"/>
      <c r="AU66" s="8"/>
      <c r="AV66" s="9"/>
      <c r="AX66" s="10"/>
      <c r="AY66" s="11"/>
      <c r="AZ66" s="12"/>
      <c r="BA66" s="13"/>
      <c r="BC66" s="6"/>
      <c r="BD66" s="7"/>
      <c r="BE66" s="8"/>
      <c r="BF66" s="9"/>
      <c r="BG66" s="4"/>
      <c r="BH66" s="46">
        <f t="shared" si="2"/>
        <v>0</v>
      </c>
      <c r="BI66" s="47">
        <f>(SUM(E66:BG66)*$D$2)</f>
        <v>0</v>
      </c>
    </row>
    <row r="67" spans="1:61" x14ac:dyDescent="0.25">
      <c r="A67" s="44" t="s">
        <v>414</v>
      </c>
      <c r="B67" s="45">
        <v>1</v>
      </c>
      <c r="C67" s="44" t="s">
        <v>49</v>
      </c>
      <c r="E67" s="6"/>
      <c r="F67" s="7"/>
      <c r="G67" s="8"/>
      <c r="H67" s="9"/>
      <c r="J67" s="10"/>
      <c r="K67" s="11"/>
      <c r="L67" s="12"/>
      <c r="M67" s="13"/>
      <c r="O67" s="6"/>
      <c r="P67" s="7"/>
      <c r="Q67" s="8"/>
      <c r="R67" s="9"/>
      <c r="T67" s="10"/>
      <c r="U67" s="11"/>
      <c r="V67" s="12"/>
      <c r="W67" s="13"/>
      <c r="Y67" s="6"/>
      <c r="Z67" s="7"/>
      <c r="AA67" s="8"/>
      <c r="AB67" s="9"/>
      <c r="AD67" s="10"/>
      <c r="AE67" s="11"/>
      <c r="AF67" s="12"/>
      <c r="AG67" s="13"/>
      <c r="AI67" s="6"/>
      <c r="AJ67" s="7"/>
      <c r="AK67" s="8"/>
      <c r="AL67" s="9"/>
      <c r="AN67" s="10"/>
      <c r="AO67" s="11"/>
      <c r="AP67" s="12"/>
      <c r="AQ67" s="13"/>
      <c r="AS67" s="6"/>
      <c r="AT67" s="7"/>
      <c r="AU67" s="8"/>
      <c r="AV67" s="9"/>
      <c r="AX67" s="10"/>
      <c r="AY67" s="11"/>
      <c r="AZ67" s="12"/>
      <c r="BA67" s="13"/>
      <c r="BC67" s="6"/>
      <c r="BD67" s="7"/>
      <c r="BE67" s="8"/>
      <c r="BF67" s="9"/>
      <c r="BG67" s="4"/>
      <c r="BH67" s="46">
        <f t="shared" si="2"/>
        <v>0</v>
      </c>
      <c r="BI67" s="47">
        <f>(SUM(E67:BG67)*$D$2)</f>
        <v>0</v>
      </c>
    </row>
    <row r="68" spans="1:61" x14ac:dyDescent="0.25">
      <c r="A68" s="44" t="s">
        <v>224</v>
      </c>
      <c r="B68" s="44" t="s">
        <v>53</v>
      </c>
      <c r="C68" s="44" t="s">
        <v>49</v>
      </c>
      <c r="D68" t="s">
        <v>54</v>
      </c>
      <c r="E68" s="6"/>
      <c r="F68" s="7">
        <v>4</v>
      </c>
      <c r="G68" s="8"/>
      <c r="H68" s="9"/>
      <c r="J68" s="10"/>
      <c r="K68" s="11"/>
      <c r="L68" s="12">
        <v>3</v>
      </c>
      <c r="M68" s="13"/>
      <c r="O68" s="6"/>
      <c r="P68" s="7"/>
      <c r="Q68" s="8"/>
      <c r="R68" s="9"/>
      <c r="T68" s="10"/>
      <c r="U68" s="11">
        <v>4</v>
      </c>
      <c r="V68" s="12">
        <v>1</v>
      </c>
      <c r="W68" s="13"/>
      <c r="Y68" s="6"/>
      <c r="Z68" s="7"/>
      <c r="AA68" s="8"/>
      <c r="AB68" s="9"/>
      <c r="AD68" s="10"/>
      <c r="AE68" s="11"/>
      <c r="AF68" s="12"/>
      <c r="AG68" s="13"/>
      <c r="AI68" s="6"/>
      <c r="AJ68" s="7">
        <v>4</v>
      </c>
      <c r="AK68" s="8">
        <v>1</v>
      </c>
      <c r="AL68" s="9"/>
      <c r="AN68" s="10">
        <v>3</v>
      </c>
      <c r="AO68" s="11"/>
      <c r="AP68" s="12"/>
      <c r="AQ68" s="13"/>
      <c r="AS68" s="6"/>
      <c r="AT68" s="7"/>
      <c r="AU68" s="8"/>
      <c r="AV68" s="9"/>
      <c r="AX68" s="10"/>
      <c r="AY68" s="11"/>
      <c r="AZ68" s="12"/>
      <c r="BA68" s="13"/>
      <c r="BC68" s="6"/>
      <c r="BD68" s="7"/>
      <c r="BE68" s="8"/>
      <c r="BF68" s="9"/>
      <c r="BG68" s="4"/>
      <c r="BH68" s="46">
        <f t="shared" si="2"/>
        <v>20</v>
      </c>
      <c r="BI68" s="47">
        <f t="shared" si="3"/>
        <v>6</v>
      </c>
    </row>
    <row r="69" spans="1:61" x14ac:dyDescent="0.25">
      <c r="A69" s="44" t="s">
        <v>410</v>
      </c>
      <c r="B69" s="44" t="s">
        <v>53</v>
      </c>
      <c r="C69" s="44" t="s">
        <v>49</v>
      </c>
      <c r="D69" t="s">
        <v>54</v>
      </c>
      <c r="E69" s="6"/>
      <c r="F69" s="7">
        <v>7</v>
      </c>
      <c r="G69" s="8"/>
      <c r="H69" s="9"/>
      <c r="J69" s="10">
        <v>3</v>
      </c>
      <c r="K69" s="11"/>
      <c r="L69" s="12"/>
      <c r="M69" s="13"/>
      <c r="O69" s="6"/>
      <c r="P69" s="7">
        <v>3</v>
      </c>
      <c r="Q69" s="8"/>
      <c r="R69" s="9"/>
      <c r="T69" s="10"/>
      <c r="U69" s="11">
        <v>2</v>
      </c>
      <c r="V69" s="12"/>
      <c r="W69" s="13"/>
      <c r="Y69" s="6"/>
      <c r="Z69" s="7"/>
      <c r="AA69" s="8"/>
      <c r="AB69" s="9"/>
      <c r="AD69" s="10"/>
      <c r="AE69" s="11"/>
      <c r="AF69" s="12"/>
      <c r="AG69" s="13"/>
      <c r="AI69" s="6"/>
      <c r="AJ69" s="7">
        <v>2</v>
      </c>
      <c r="AK69" s="8"/>
      <c r="AL69" s="9">
        <v>4</v>
      </c>
      <c r="AO69" s="11"/>
      <c r="AP69" s="12"/>
      <c r="AQ69" s="13"/>
      <c r="AS69" s="6"/>
      <c r="AT69" s="7"/>
      <c r="AU69" s="8"/>
      <c r="AV69" s="9"/>
      <c r="AX69" s="10"/>
      <c r="AY69" s="11"/>
      <c r="AZ69" s="12"/>
      <c r="BA69" s="13"/>
      <c r="BC69" s="6"/>
      <c r="BD69" s="7"/>
      <c r="BE69" s="8"/>
      <c r="BF69" s="9"/>
      <c r="BG69" s="4"/>
      <c r="BH69" s="46">
        <f t="shared" si="2"/>
        <v>21</v>
      </c>
      <c r="BI69" s="47">
        <f t="shared" si="3"/>
        <v>6.3</v>
      </c>
    </row>
    <row r="70" spans="1:61" x14ac:dyDescent="0.25">
      <c r="A70" s="44" t="s">
        <v>411</v>
      </c>
      <c r="B70" s="44" t="s">
        <v>53</v>
      </c>
      <c r="C70" s="44" t="s">
        <v>49</v>
      </c>
      <c r="D70" t="s">
        <v>54</v>
      </c>
      <c r="E70" s="6"/>
      <c r="F70" s="7">
        <v>3</v>
      </c>
      <c r="G70" s="8"/>
      <c r="H70" s="9"/>
      <c r="J70" s="10"/>
      <c r="K70" s="11"/>
      <c r="L70" s="12"/>
      <c r="M70" s="13"/>
      <c r="O70" s="6"/>
      <c r="P70" s="7"/>
      <c r="Q70" s="8"/>
      <c r="R70" s="9"/>
      <c r="T70" s="10"/>
      <c r="U70" s="11"/>
      <c r="V70" s="12"/>
      <c r="W70" s="13"/>
      <c r="Y70" s="6"/>
      <c r="Z70" s="7"/>
      <c r="AA70" s="8"/>
      <c r="AB70" s="9"/>
      <c r="AD70" s="10"/>
      <c r="AE70" s="11"/>
      <c r="AF70" s="12"/>
      <c r="AG70" s="13"/>
      <c r="AI70" s="6"/>
      <c r="AJ70" s="7"/>
      <c r="AK70" s="8"/>
      <c r="AL70" s="9">
        <v>2</v>
      </c>
      <c r="AN70" s="10"/>
      <c r="AO70" s="11"/>
      <c r="AP70" s="12"/>
      <c r="AQ70" s="13"/>
      <c r="AS70" s="6"/>
      <c r="AT70" s="7"/>
      <c r="AU70" s="8"/>
      <c r="AV70" s="9"/>
      <c r="AX70" s="10"/>
      <c r="AY70" s="11"/>
      <c r="AZ70" s="12"/>
      <c r="BA70" s="13"/>
      <c r="BC70" s="6"/>
      <c r="BD70" s="7"/>
      <c r="BE70" s="8"/>
      <c r="BF70" s="9"/>
      <c r="BG70" s="4"/>
      <c r="BH70" s="46">
        <f t="shared" si="2"/>
        <v>5</v>
      </c>
      <c r="BI70" s="47">
        <f t="shared" si="3"/>
        <v>1.5</v>
      </c>
    </row>
    <row r="71" spans="1:61" x14ac:dyDescent="0.25">
      <c r="A71" s="44" t="s">
        <v>412</v>
      </c>
      <c r="B71" s="44" t="s">
        <v>53</v>
      </c>
      <c r="C71" s="44" t="s">
        <v>49</v>
      </c>
      <c r="D71" t="s">
        <v>54</v>
      </c>
      <c r="E71" s="6"/>
      <c r="F71" s="7"/>
      <c r="G71" s="8"/>
      <c r="H71" s="9"/>
      <c r="J71" s="10"/>
      <c r="K71" s="11"/>
      <c r="L71" s="12"/>
      <c r="M71" s="13"/>
      <c r="O71" s="6"/>
      <c r="P71" s="7"/>
      <c r="Q71" s="8"/>
      <c r="R71" s="9"/>
      <c r="T71" s="10"/>
      <c r="U71" s="11"/>
      <c r="V71" s="12"/>
      <c r="W71" s="13"/>
      <c r="Y71" s="6"/>
      <c r="Z71" s="7"/>
      <c r="AA71" s="8"/>
      <c r="AB71" s="9"/>
      <c r="AD71" s="10"/>
      <c r="AE71" s="11"/>
      <c r="AF71" s="12"/>
      <c r="AG71" s="13"/>
      <c r="AI71" s="6"/>
      <c r="AJ71" s="7"/>
      <c r="AK71" s="8"/>
      <c r="AL71" s="9"/>
      <c r="AN71" s="10"/>
      <c r="AO71" s="11"/>
      <c r="AP71" s="12"/>
      <c r="AQ71" s="13"/>
      <c r="AS71" s="6"/>
      <c r="AT71" s="7"/>
      <c r="AU71" s="8"/>
      <c r="AV71" s="9"/>
      <c r="AX71" s="10"/>
      <c r="AY71" s="11"/>
      <c r="AZ71" s="12"/>
      <c r="BA71" s="13"/>
      <c r="BC71" s="6"/>
      <c r="BD71" s="7"/>
      <c r="BE71" s="8"/>
      <c r="BF71" s="9"/>
      <c r="BG71" s="4"/>
      <c r="BH71" s="46">
        <f t="shared" si="2"/>
        <v>0</v>
      </c>
      <c r="BI71" s="47">
        <f t="shared" si="3"/>
        <v>0</v>
      </c>
    </row>
    <row r="72" spans="1:61" x14ac:dyDescent="0.25">
      <c r="A72" s="44" t="s">
        <v>220</v>
      </c>
      <c r="B72" s="45">
        <v>3</v>
      </c>
      <c r="C72" s="44" t="s">
        <v>49</v>
      </c>
      <c r="D72" t="s">
        <v>56</v>
      </c>
      <c r="E72" s="6">
        <v>3</v>
      </c>
      <c r="F72" s="7">
        <v>5</v>
      </c>
      <c r="G72" s="8"/>
      <c r="H72" s="9"/>
      <c r="J72" s="10"/>
      <c r="K72" s="11"/>
      <c r="L72" s="12"/>
      <c r="M72" s="13">
        <v>2</v>
      </c>
      <c r="O72" s="6"/>
      <c r="P72" s="7"/>
      <c r="Q72" s="8"/>
      <c r="R72" s="9"/>
      <c r="T72" s="10"/>
      <c r="U72" s="11"/>
      <c r="V72" s="12"/>
      <c r="W72" s="13"/>
      <c r="Y72" s="6"/>
      <c r="Z72" s="7"/>
      <c r="AA72" s="8"/>
      <c r="AB72" s="9"/>
      <c r="AD72" s="10"/>
      <c r="AE72" s="11"/>
      <c r="AF72" s="12"/>
      <c r="AG72" s="13"/>
      <c r="AI72" s="6"/>
      <c r="AJ72" s="7"/>
      <c r="AK72" s="8"/>
      <c r="AL72" s="9"/>
      <c r="AN72" s="10"/>
      <c r="AO72" s="11"/>
      <c r="AP72" s="12"/>
      <c r="AQ72" s="13"/>
      <c r="AS72" s="6"/>
      <c r="AT72" s="7"/>
      <c r="AU72" s="8"/>
      <c r="AV72" s="9"/>
      <c r="AX72" s="10"/>
      <c r="AY72" s="11"/>
      <c r="AZ72" s="12"/>
      <c r="BA72" s="13"/>
      <c r="BC72" s="6"/>
      <c r="BD72" s="7"/>
      <c r="BE72" s="8"/>
      <c r="BF72" s="9"/>
      <c r="BG72" s="4"/>
      <c r="BH72" s="46">
        <f t="shared" si="2"/>
        <v>10</v>
      </c>
      <c r="BI72" s="47">
        <f t="shared" si="3"/>
        <v>3</v>
      </c>
    </row>
    <row r="73" spans="1:61" x14ac:dyDescent="0.25">
      <c r="A73" s="44" t="s">
        <v>426</v>
      </c>
      <c r="B73" s="45"/>
      <c r="C73" s="44" t="s">
        <v>49</v>
      </c>
      <c r="E73" s="6"/>
      <c r="F73" s="7"/>
      <c r="G73" s="8"/>
      <c r="H73" s="9"/>
      <c r="J73" s="10"/>
      <c r="K73" s="11"/>
      <c r="L73" s="12"/>
      <c r="M73" s="13"/>
      <c r="O73" s="6"/>
      <c r="P73" s="7"/>
      <c r="Q73" s="8"/>
      <c r="R73" s="9"/>
      <c r="T73" s="10"/>
      <c r="U73" s="11"/>
      <c r="V73" s="12"/>
      <c r="W73" s="13"/>
      <c r="Y73" s="6"/>
      <c r="Z73" s="7"/>
      <c r="AA73" s="8"/>
      <c r="AB73" s="9"/>
      <c r="AD73" s="10"/>
      <c r="AE73" s="11"/>
      <c r="AF73" s="12"/>
      <c r="AG73" s="13"/>
      <c r="AI73" s="6"/>
      <c r="AJ73" s="7"/>
      <c r="AK73" s="8"/>
      <c r="AL73" s="9"/>
      <c r="AN73" s="10"/>
      <c r="AO73" s="11"/>
      <c r="AP73" s="12"/>
      <c r="AQ73" s="13"/>
      <c r="AS73" s="6"/>
      <c r="AT73" s="7"/>
      <c r="AU73" s="8"/>
      <c r="AV73" s="9"/>
      <c r="AX73" s="10"/>
      <c r="AY73" s="11"/>
      <c r="AZ73" s="12"/>
      <c r="BA73" s="13"/>
      <c r="BC73" s="6"/>
      <c r="BD73" s="7"/>
      <c r="BE73" s="8"/>
      <c r="BF73" s="9"/>
      <c r="BG73" s="4"/>
      <c r="BH73" s="46">
        <f t="shared" si="2"/>
        <v>0</v>
      </c>
      <c r="BI73" s="47">
        <f t="shared" si="3"/>
        <v>0</v>
      </c>
    </row>
    <row r="74" spans="1:61" x14ac:dyDescent="0.25">
      <c r="A74" s="44" t="s">
        <v>425</v>
      </c>
      <c r="B74" s="45"/>
      <c r="C74" s="44" t="s">
        <v>49</v>
      </c>
      <c r="E74" s="6"/>
      <c r="F74" s="7"/>
      <c r="G74" s="8"/>
      <c r="H74" s="9"/>
      <c r="J74" s="10"/>
      <c r="K74" s="11"/>
      <c r="L74" s="12"/>
      <c r="M74" s="13"/>
      <c r="O74" s="6"/>
      <c r="P74" s="7"/>
      <c r="Q74" s="8"/>
      <c r="R74" s="9"/>
      <c r="T74" s="10"/>
      <c r="U74" s="11"/>
      <c r="V74" s="12"/>
      <c r="W74" s="13"/>
      <c r="Y74" s="6"/>
      <c r="Z74" s="7"/>
      <c r="AA74" s="8"/>
      <c r="AB74" s="9"/>
      <c r="AD74" s="10"/>
      <c r="AE74" s="11"/>
      <c r="AF74" s="12"/>
      <c r="AG74" s="13"/>
      <c r="AI74" s="6"/>
      <c r="AJ74" s="7"/>
      <c r="AK74" s="8"/>
      <c r="AL74" s="9"/>
      <c r="AN74" s="10"/>
      <c r="AO74" s="11"/>
      <c r="AP74" s="12"/>
      <c r="AQ74" s="13"/>
      <c r="AS74" s="6"/>
      <c r="AT74" s="7"/>
      <c r="AU74" s="8"/>
      <c r="AV74" s="9"/>
      <c r="AX74" s="10"/>
      <c r="AY74" s="11"/>
      <c r="AZ74" s="12"/>
      <c r="BA74" s="13"/>
      <c r="BC74" s="6"/>
      <c r="BD74" s="7"/>
      <c r="BE74" s="8"/>
      <c r="BF74" s="9"/>
      <c r="BG74" s="4"/>
      <c r="BH74" s="46">
        <f t="shared" si="2"/>
        <v>0</v>
      </c>
      <c r="BI74" s="47">
        <f t="shared" si="3"/>
        <v>0</v>
      </c>
    </row>
    <row r="75" spans="1:61" x14ac:dyDescent="0.25">
      <c r="A75" s="44" t="s">
        <v>427</v>
      </c>
      <c r="B75" s="45"/>
      <c r="C75" s="44" t="s">
        <v>49</v>
      </c>
      <c r="E75" s="6"/>
      <c r="F75" s="7"/>
      <c r="G75" s="8"/>
      <c r="H75" s="9"/>
      <c r="J75" s="10"/>
      <c r="K75" s="11"/>
      <c r="L75" s="12"/>
      <c r="M75" s="13"/>
      <c r="O75" s="6"/>
      <c r="P75" s="7"/>
      <c r="Q75" s="8"/>
      <c r="R75" s="9"/>
      <c r="T75" s="10"/>
      <c r="U75" s="11"/>
      <c r="V75" s="12"/>
      <c r="W75" s="13"/>
      <c r="Y75" s="6"/>
      <c r="Z75" s="7"/>
      <c r="AA75" s="8"/>
      <c r="AB75" s="9"/>
      <c r="AD75" s="10"/>
      <c r="AE75" s="11"/>
      <c r="AF75" s="12"/>
      <c r="AG75" s="13"/>
      <c r="AI75" s="6"/>
      <c r="AJ75" s="7"/>
      <c r="AK75" s="8"/>
      <c r="AL75" s="9"/>
      <c r="AN75" s="10"/>
      <c r="AO75" s="11"/>
      <c r="AP75" s="12"/>
      <c r="AQ75" s="13"/>
      <c r="AS75" s="6"/>
      <c r="AT75" s="7"/>
      <c r="AU75" s="8"/>
      <c r="AV75" s="9"/>
      <c r="AX75" s="10"/>
      <c r="AY75" s="11"/>
      <c r="AZ75" s="12"/>
      <c r="BA75" s="13"/>
      <c r="BC75" s="6"/>
      <c r="BD75" s="7"/>
      <c r="BE75" s="8"/>
      <c r="BF75" s="9"/>
      <c r="BG75" s="4"/>
      <c r="BH75" s="46">
        <f t="shared" si="2"/>
        <v>0</v>
      </c>
      <c r="BI75" s="47">
        <f t="shared" si="3"/>
        <v>0</v>
      </c>
    </row>
    <row r="76" spans="1:61" x14ac:dyDescent="0.25">
      <c r="A76" s="44" t="s">
        <v>428</v>
      </c>
      <c r="B76" s="45"/>
      <c r="C76" s="44" t="s">
        <v>49</v>
      </c>
      <c r="E76" s="6"/>
      <c r="F76" s="7"/>
      <c r="G76" s="8"/>
      <c r="H76" s="9"/>
      <c r="J76" s="10"/>
      <c r="K76" s="11"/>
      <c r="L76" s="12"/>
      <c r="M76" s="13"/>
      <c r="O76" s="6"/>
      <c r="P76" s="7"/>
      <c r="Q76" s="8"/>
      <c r="R76" s="9"/>
      <c r="T76" s="10"/>
      <c r="U76" s="11"/>
      <c r="V76" s="12"/>
      <c r="W76" s="13"/>
      <c r="Y76" s="6"/>
      <c r="Z76" s="7"/>
      <c r="AA76" s="8"/>
      <c r="AB76" s="9"/>
      <c r="AD76" s="10"/>
      <c r="AE76" s="11"/>
      <c r="AF76" s="12"/>
      <c r="AG76" s="13"/>
      <c r="AI76" s="6"/>
      <c r="AJ76" s="7"/>
      <c r="AK76" s="8"/>
      <c r="AL76" s="9"/>
      <c r="AN76" s="10"/>
      <c r="AO76" s="11"/>
      <c r="AP76" s="12"/>
      <c r="AQ76" s="13"/>
      <c r="AS76" s="6"/>
      <c r="AT76" s="7"/>
      <c r="AU76" s="8"/>
      <c r="AV76" s="9"/>
      <c r="AX76" s="10"/>
      <c r="AY76" s="11"/>
      <c r="AZ76" s="12"/>
      <c r="BA76" s="13"/>
      <c r="BC76" s="6"/>
      <c r="BD76" s="7"/>
      <c r="BE76" s="8"/>
      <c r="BF76" s="9"/>
      <c r="BG76" s="4"/>
      <c r="BH76" s="46">
        <f t="shared" si="2"/>
        <v>0</v>
      </c>
      <c r="BI76" s="47">
        <f t="shared" si="3"/>
        <v>0</v>
      </c>
    </row>
    <row r="77" spans="1:61" x14ac:dyDescent="0.25">
      <c r="A77" s="44" t="s">
        <v>420</v>
      </c>
      <c r="B77" s="45"/>
      <c r="C77" s="44" t="s">
        <v>49</v>
      </c>
      <c r="E77" s="6"/>
      <c r="F77" s="7"/>
      <c r="G77" s="8"/>
      <c r="H77" s="9"/>
      <c r="J77" s="10"/>
      <c r="K77" s="11"/>
      <c r="L77" s="12"/>
      <c r="M77" s="13"/>
      <c r="O77" s="6"/>
      <c r="P77" s="7"/>
      <c r="Q77" s="8"/>
      <c r="R77" s="9"/>
      <c r="T77" s="10"/>
      <c r="U77" s="11"/>
      <c r="V77" s="12"/>
      <c r="W77" s="13"/>
      <c r="Y77" s="6"/>
      <c r="Z77" s="7"/>
      <c r="AA77" s="8"/>
      <c r="AB77" s="9"/>
      <c r="AD77" s="10"/>
      <c r="AE77" s="11"/>
      <c r="AF77" s="12"/>
      <c r="AG77" s="13"/>
      <c r="AI77" s="6"/>
      <c r="AJ77" s="7"/>
      <c r="AK77" s="8"/>
      <c r="AL77" s="9"/>
      <c r="AN77" s="10"/>
      <c r="AO77" s="11"/>
      <c r="AP77" s="12"/>
      <c r="AQ77" s="13"/>
      <c r="AS77" s="6"/>
      <c r="AT77" s="7"/>
      <c r="AU77" s="8"/>
      <c r="AV77" s="9"/>
      <c r="AX77" s="10"/>
      <c r="AY77" s="11"/>
      <c r="AZ77" s="12"/>
      <c r="BA77" s="13"/>
      <c r="BC77" s="6"/>
      <c r="BD77" s="7"/>
      <c r="BE77" s="8"/>
      <c r="BF77" s="9"/>
      <c r="BG77" s="4"/>
      <c r="BH77" s="46">
        <f t="shared" si="2"/>
        <v>0</v>
      </c>
      <c r="BI77" s="47">
        <f t="shared" si="3"/>
        <v>0</v>
      </c>
    </row>
    <row r="78" spans="1:61" x14ac:dyDescent="0.25">
      <c r="A78" s="44" t="s">
        <v>415</v>
      </c>
      <c r="B78" s="45" t="s">
        <v>335</v>
      </c>
      <c r="C78" s="44" t="s">
        <v>49</v>
      </c>
      <c r="E78" s="6"/>
      <c r="F78" s="7"/>
      <c r="G78" s="8"/>
      <c r="H78" s="9"/>
      <c r="J78" s="10"/>
      <c r="K78" s="11"/>
      <c r="L78" s="12"/>
      <c r="M78" s="13"/>
      <c r="O78" s="6"/>
      <c r="P78" s="7"/>
      <c r="Q78" s="8"/>
      <c r="R78" s="9"/>
      <c r="T78" s="10"/>
      <c r="U78" s="11"/>
      <c r="V78" s="12"/>
      <c r="W78" s="13"/>
      <c r="Y78" s="6"/>
      <c r="Z78" s="7"/>
      <c r="AA78" s="8"/>
      <c r="AB78" s="9"/>
      <c r="AD78" s="10"/>
      <c r="AE78" s="11"/>
      <c r="AF78" s="12"/>
      <c r="AG78" s="13"/>
      <c r="AI78" s="6"/>
      <c r="AJ78" s="7"/>
      <c r="AK78" s="8"/>
      <c r="AL78" s="9"/>
      <c r="AN78" s="10"/>
      <c r="AO78" s="11"/>
      <c r="AP78" s="12">
        <v>10</v>
      </c>
      <c r="AQ78" s="13"/>
      <c r="AS78" s="6"/>
      <c r="AT78" s="7"/>
      <c r="AU78" s="8"/>
      <c r="AV78" s="9"/>
      <c r="AX78" s="10"/>
      <c r="AY78" s="11"/>
      <c r="AZ78" s="12"/>
      <c r="BA78" s="13"/>
      <c r="BC78" s="6"/>
      <c r="BD78" s="7"/>
      <c r="BE78" s="8"/>
      <c r="BF78" s="9"/>
      <c r="BG78" s="4"/>
      <c r="BH78" s="46">
        <f t="shared" ref="BH78:BH82" si="8">SUM(E78:BF78)</f>
        <v>10</v>
      </c>
      <c r="BI78" s="47">
        <f t="shared" ref="BI78:BI82" si="9">(SUM(E78:BG78)*$D$2)</f>
        <v>3</v>
      </c>
    </row>
    <row r="79" spans="1:61" x14ac:dyDescent="0.25">
      <c r="A79" s="44" t="s">
        <v>444</v>
      </c>
      <c r="B79" s="45"/>
      <c r="C79" s="44" t="s">
        <v>49</v>
      </c>
      <c r="E79" s="6"/>
      <c r="F79" s="7"/>
      <c r="G79" s="8"/>
      <c r="H79" s="9"/>
      <c r="J79" s="10"/>
      <c r="K79" s="11"/>
      <c r="L79" s="12"/>
      <c r="M79" s="13"/>
      <c r="O79" s="6"/>
      <c r="P79" s="7"/>
      <c r="Q79" s="8"/>
      <c r="R79" s="9"/>
      <c r="T79" s="10"/>
      <c r="U79" s="11"/>
      <c r="V79" s="12"/>
      <c r="W79" s="13"/>
      <c r="Y79" s="6"/>
      <c r="Z79" s="7"/>
      <c r="AA79" s="8"/>
      <c r="AB79" s="9"/>
      <c r="AD79" s="10"/>
      <c r="AE79" s="11"/>
      <c r="AF79" s="12"/>
      <c r="AG79" s="13"/>
      <c r="AI79" s="6"/>
      <c r="AJ79" s="7"/>
      <c r="AK79" s="8"/>
      <c r="AL79" s="9"/>
      <c r="AN79" s="10"/>
      <c r="AO79" s="11"/>
      <c r="AP79" s="12"/>
      <c r="AQ79" s="13"/>
      <c r="AS79" s="6"/>
      <c r="AT79" s="7"/>
      <c r="AU79" s="8"/>
      <c r="AV79" s="9"/>
      <c r="AX79" s="10"/>
      <c r="AY79" s="11"/>
      <c r="AZ79" s="12"/>
      <c r="BA79" s="13"/>
      <c r="BC79" s="6"/>
      <c r="BD79" s="7"/>
      <c r="BE79" s="8"/>
      <c r="BF79" s="9"/>
      <c r="BG79" s="4"/>
      <c r="BH79" s="46">
        <f t="shared" si="8"/>
        <v>0</v>
      </c>
      <c r="BI79" s="47">
        <f t="shared" si="9"/>
        <v>0</v>
      </c>
    </row>
    <row r="80" spans="1:61" x14ac:dyDescent="0.25">
      <c r="A80" s="44" t="s">
        <v>445</v>
      </c>
      <c r="B80" s="45"/>
      <c r="C80" s="44" t="s">
        <v>49</v>
      </c>
      <c r="E80" s="6"/>
      <c r="F80" s="7"/>
      <c r="G80" s="8"/>
      <c r="H80" s="9"/>
      <c r="J80" s="10"/>
      <c r="K80" s="11"/>
      <c r="L80" s="12"/>
      <c r="M80" s="13"/>
      <c r="O80" s="6"/>
      <c r="P80" s="7"/>
      <c r="Q80" s="8"/>
      <c r="R80" s="9"/>
      <c r="T80" s="10"/>
      <c r="U80" s="11"/>
      <c r="V80" s="12"/>
      <c r="W80" s="13"/>
      <c r="Y80" s="6"/>
      <c r="Z80" s="7"/>
      <c r="AA80" s="8"/>
      <c r="AB80" s="9"/>
      <c r="AD80" s="10"/>
      <c r="AE80" s="11"/>
      <c r="AF80" s="12"/>
      <c r="AG80" s="13"/>
      <c r="AI80" s="6"/>
      <c r="AJ80" s="7"/>
      <c r="AK80" s="8"/>
      <c r="AL80" s="9"/>
      <c r="AN80" s="10"/>
      <c r="AO80" s="11"/>
      <c r="AP80" s="12"/>
      <c r="AQ80" s="13"/>
      <c r="AS80" s="6"/>
      <c r="AT80" s="7"/>
      <c r="AU80" s="8"/>
      <c r="AV80" s="9"/>
      <c r="AX80" s="10"/>
      <c r="AY80" s="11"/>
      <c r="AZ80" s="12"/>
      <c r="BA80" s="13"/>
      <c r="BC80" s="6"/>
      <c r="BD80" s="7"/>
      <c r="BE80" s="8"/>
      <c r="BF80" s="9"/>
      <c r="BG80" s="4"/>
      <c r="BH80" s="46">
        <f t="shared" si="8"/>
        <v>0</v>
      </c>
      <c r="BI80" s="47">
        <f t="shared" si="9"/>
        <v>0</v>
      </c>
    </row>
    <row r="81" spans="1:61" x14ac:dyDescent="0.25">
      <c r="A81" s="44" t="s">
        <v>446</v>
      </c>
      <c r="B81" s="45"/>
      <c r="C81" s="44" t="s">
        <v>49</v>
      </c>
      <c r="E81" s="6"/>
      <c r="F81" s="7"/>
      <c r="G81" s="8"/>
      <c r="H81" s="9"/>
      <c r="J81" s="10"/>
      <c r="K81" s="11"/>
      <c r="L81" s="12"/>
      <c r="M81" s="13"/>
      <c r="O81" s="6"/>
      <c r="P81" s="7"/>
      <c r="Q81" s="8"/>
      <c r="R81" s="9"/>
      <c r="T81" s="10"/>
      <c r="U81" s="11"/>
      <c r="V81" s="12"/>
      <c r="W81" s="13"/>
      <c r="Y81" s="6"/>
      <c r="Z81" s="7"/>
      <c r="AA81" s="8"/>
      <c r="AB81" s="9"/>
      <c r="AD81" s="10"/>
      <c r="AE81" s="11"/>
      <c r="AF81" s="12"/>
      <c r="AG81" s="13"/>
      <c r="AI81" s="6"/>
      <c r="AJ81" s="7"/>
      <c r="AK81" s="8"/>
      <c r="AL81" s="9"/>
      <c r="AN81" s="10"/>
      <c r="AO81" s="11"/>
      <c r="AP81" s="12"/>
      <c r="AQ81" s="13"/>
      <c r="AS81" s="6"/>
      <c r="AT81" s="7"/>
      <c r="AU81" s="8"/>
      <c r="AV81" s="9"/>
      <c r="AX81" s="10"/>
      <c r="AY81" s="11"/>
      <c r="AZ81" s="12"/>
      <c r="BA81" s="13"/>
      <c r="BC81" s="6"/>
      <c r="BD81" s="7"/>
      <c r="BE81" s="8"/>
      <c r="BF81" s="9"/>
      <c r="BG81" s="4"/>
      <c r="BH81" s="46">
        <f t="shared" si="8"/>
        <v>0</v>
      </c>
      <c r="BI81" s="47">
        <f t="shared" si="9"/>
        <v>0</v>
      </c>
    </row>
    <row r="82" spans="1:61" x14ac:dyDescent="0.25">
      <c r="A82" s="44" t="s">
        <v>451</v>
      </c>
      <c r="B82" s="45"/>
      <c r="C82" s="44" t="s">
        <v>49</v>
      </c>
      <c r="E82" s="6"/>
      <c r="F82" s="7"/>
      <c r="G82" s="8"/>
      <c r="H82" s="9"/>
      <c r="J82" s="10"/>
      <c r="K82" s="11"/>
      <c r="L82" s="12"/>
      <c r="M82" s="13"/>
      <c r="O82" s="6"/>
      <c r="P82" s="7"/>
      <c r="Q82" s="8"/>
      <c r="R82" s="9"/>
      <c r="T82" s="10"/>
      <c r="U82" s="11"/>
      <c r="V82" s="12"/>
      <c r="W82" s="13"/>
      <c r="Y82" s="6"/>
      <c r="Z82" s="7"/>
      <c r="AA82" s="8"/>
      <c r="AB82" s="9"/>
      <c r="AD82" s="10"/>
      <c r="AE82" s="11"/>
      <c r="AF82" s="12"/>
      <c r="AG82" s="13"/>
      <c r="AI82" s="6"/>
      <c r="AJ82" s="7"/>
      <c r="AK82" s="8"/>
      <c r="AL82" s="9"/>
      <c r="AN82" s="10"/>
      <c r="AO82" s="11"/>
      <c r="AP82" s="12"/>
      <c r="AQ82" s="13"/>
      <c r="AS82" s="6"/>
      <c r="AT82" s="7"/>
      <c r="AU82" s="8"/>
      <c r="AV82" s="9"/>
      <c r="AX82" s="10"/>
      <c r="AY82" s="11"/>
      <c r="AZ82" s="12"/>
      <c r="BA82" s="13"/>
      <c r="BC82" s="6"/>
      <c r="BD82" s="7"/>
      <c r="BE82" s="8"/>
      <c r="BF82" s="9"/>
      <c r="BG82" s="4"/>
      <c r="BH82" s="46">
        <f t="shared" si="8"/>
        <v>0</v>
      </c>
      <c r="BI82" s="47">
        <f t="shared" si="9"/>
        <v>0</v>
      </c>
    </row>
    <row r="83" spans="1:61" x14ac:dyDescent="0.25">
      <c r="A83" s="44" t="s">
        <v>452</v>
      </c>
      <c r="B83" s="45"/>
      <c r="C83" s="44" t="s">
        <v>49</v>
      </c>
      <c r="E83" s="6"/>
      <c r="F83" s="7"/>
      <c r="G83" s="8"/>
      <c r="H83" s="9"/>
      <c r="J83" s="10"/>
      <c r="K83" s="11"/>
      <c r="L83" s="12"/>
      <c r="M83" s="13"/>
      <c r="O83" s="6"/>
      <c r="P83" s="7"/>
      <c r="Q83" s="8"/>
      <c r="R83" s="9"/>
      <c r="T83" s="10"/>
      <c r="U83" s="11"/>
      <c r="V83" s="12"/>
      <c r="W83" s="13"/>
      <c r="Y83" s="6"/>
      <c r="Z83" s="7"/>
      <c r="AA83" s="8"/>
      <c r="AB83" s="9"/>
      <c r="AD83" s="10"/>
      <c r="AE83" s="11"/>
      <c r="AF83" s="12"/>
      <c r="AG83" s="13"/>
      <c r="AI83" s="6"/>
      <c r="AJ83" s="7"/>
      <c r="AK83" s="8"/>
      <c r="AL83" s="9"/>
      <c r="AN83" s="10"/>
      <c r="AO83" s="11"/>
      <c r="AP83" s="12"/>
      <c r="AQ83" s="13"/>
      <c r="AS83" s="6"/>
      <c r="AT83" s="7"/>
      <c r="AU83" s="8"/>
      <c r="AV83" s="9"/>
      <c r="AX83" s="10"/>
      <c r="AY83" s="11"/>
      <c r="AZ83" s="12"/>
      <c r="BA83" s="13"/>
      <c r="BC83" s="6"/>
      <c r="BD83" s="7"/>
      <c r="BE83" s="8"/>
      <c r="BF83" s="9"/>
      <c r="BG83" s="4"/>
      <c r="BH83" s="46">
        <f t="shared" si="2"/>
        <v>0</v>
      </c>
      <c r="BI83" s="47">
        <f t="shared" si="3"/>
        <v>0</v>
      </c>
    </row>
    <row r="84" spans="1:61" x14ac:dyDescent="0.25">
      <c r="E84" s="6"/>
      <c r="F84" s="7"/>
      <c r="G84" s="8"/>
      <c r="H84" s="9"/>
      <c r="J84" s="10"/>
      <c r="K84" s="11"/>
      <c r="L84" s="12"/>
      <c r="M84" s="13"/>
      <c r="O84" s="6"/>
      <c r="P84" s="7"/>
      <c r="Q84" s="8"/>
      <c r="R84" s="9"/>
      <c r="T84" s="10"/>
      <c r="U84" s="11"/>
      <c r="V84" s="12"/>
      <c r="W84" s="13"/>
      <c r="Y84" s="6"/>
      <c r="Z84" s="7"/>
      <c r="AA84" s="8"/>
      <c r="AB84" s="9"/>
      <c r="AD84" s="10"/>
      <c r="AE84" s="11"/>
      <c r="AF84" s="12"/>
      <c r="AG84" s="13"/>
      <c r="AI84" s="6"/>
      <c r="AJ84" s="7"/>
      <c r="AK84" s="8"/>
      <c r="AL84" s="9"/>
      <c r="AN84" s="10"/>
      <c r="AO84" s="11"/>
      <c r="AP84" s="12"/>
      <c r="AQ84" s="13"/>
      <c r="AS84" s="6"/>
      <c r="AT84" s="7"/>
      <c r="AU84" s="8"/>
      <c r="AV84" s="9"/>
      <c r="AX84" s="10"/>
      <c r="AY84" s="11"/>
      <c r="AZ84" s="12"/>
      <c r="BA84" s="13"/>
      <c r="BC84" s="6"/>
      <c r="BD84" s="7"/>
      <c r="BE84" s="8"/>
      <c r="BF84" s="9"/>
      <c r="BG84" s="4"/>
      <c r="BH84" s="46"/>
      <c r="BI84" s="47"/>
    </row>
    <row r="85" spans="1:61" x14ac:dyDescent="0.25">
      <c r="A85" s="42" t="s">
        <v>219</v>
      </c>
      <c r="B85" s="43">
        <v>1</v>
      </c>
      <c r="C85" s="42" t="s">
        <v>64</v>
      </c>
      <c r="D85" t="s">
        <v>52</v>
      </c>
      <c r="E85" s="6"/>
      <c r="F85" s="7"/>
      <c r="G85" s="8"/>
      <c r="H85" s="9"/>
      <c r="J85" s="10"/>
      <c r="K85" s="11"/>
      <c r="L85" s="12"/>
      <c r="M85" s="13"/>
      <c r="O85" s="6"/>
      <c r="P85" s="7"/>
      <c r="Q85" s="8"/>
      <c r="R85" s="9"/>
      <c r="T85" s="10"/>
      <c r="U85" s="11"/>
      <c r="V85" s="12"/>
      <c r="W85" s="13"/>
      <c r="Y85" s="6"/>
      <c r="Z85" s="7"/>
      <c r="AA85" s="8"/>
      <c r="AB85" s="9"/>
      <c r="AD85" s="10"/>
      <c r="AE85" s="11"/>
      <c r="AF85" s="12"/>
      <c r="AG85" s="13"/>
      <c r="AI85" s="6"/>
      <c r="AJ85" s="7"/>
      <c r="AK85" s="8"/>
      <c r="AL85" s="9"/>
      <c r="AN85" s="10"/>
      <c r="AO85" s="11"/>
      <c r="AP85" s="12"/>
      <c r="AQ85" s="13"/>
      <c r="AS85" s="6"/>
      <c r="AT85" s="7"/>
      <c r="AU85" s="8"/>
      <c r="AV85" s="9"/>
      <c r="AX85" s="10"/>
      <c r="AY85" s="11"/>
      <c r="AZ85" s="12"/>
      <c r="BA85" s="13"/>
      <c r="BC85" s="6"/>
      <c r="BD85" s="7"/>
      <c r="BE85" s="8"/>
      <c r="BF85" s="9"/>
      <c r="BG85" s="4"/>
      <c r="BH85" s="46">
        <f t="shared" si="2"/>
        <v>0</v>
      </c>
      <c r="BI85" s="47">
        <f t="shared" si="3"/>
        <v>0</v>
      </c>
    </row>
    <row r="86" spans="1:61" x14ac:dyDescent="0.25">
      <c r="A86" s="42" t="s">
        <v>218</v>
      </c>
      <c r="B86" s="43">
        <v>1</v>
      </c>
      <c r="C86" s="42" t="s">
        <v>64</v>
      </c>
      <c r="D86" t="s">
        <v>52</v>
      </c>
      <c r="E86" s="6"/>
      <c r="F86" s="7">
        <v>3</v>
      </c>
      <c r="G86" s="8"/>
      <c r="H86" s="9"/>
      <c r="J86" s="10"/>
      <c r="K86" s="11"/>
      <c r="L86" s="12"/>
      <c r="M86" s="13"/>
      <c r="O86" s="6"/>
      <c r="P86" s="7"/>
      <c r="Q86" s="8"/>
      <c r="R86" s="9"/>
      <c r="T86" s="10"/>
      <c r="U86" s="11"/>
      <c r="V86" s="12"/>
      <c r="W86" s="13"/>
      <c r="Y86" s="6"/>
      <c r="Z86" s="7"/>
      <c r="AA86" s="8"/>
      <c r="AB86" s="9"/>
      <c r="AD86" s="10"/>
      <c r="AE86" s="11"/>
      <c r="AF86" s="12"/>
      <c r="AG86" s="13"/>
      <c r="AI86" s="6"/>
      <c r="AJ86" s="7"/>
      <c r="AK86" s="8"/>
      <c r="AL86" s="9"/>
      <c r="AN86" s="10"/>
      <c r="AO86" s="11"/>
      <c r="AP86" s="12"/>
      <c r="AQ86" s="13"/>
      <c r="AS86" s="6"/>
      <c r="AT86" s="7"/>
      <c r="AU86" s="8"/>
      <c r="AV86" s="9"/>
      <c r="AX86" s="10"/>
      <c r="AY86" s="11"/>
      <c r="AZ86" s="12"/>
      <c r="BA86" s="13"/>
      <c r="BC86" s="6"/>
      <c r="BD86" s="7"/>
      <c r="BE86" s="8"/>
      <c r="BF86" s="9"/>
      <c r="BG86" s="4"/>
      <c r="BH86" s="46">
        <f t="shared" si="2"/>
        <v>3</v>
      </c>
      <c r="BI86" s="47">
        <f t="shared" si="3"/>
        <v>0.89999999999999991</v>
      </c>
    </row>
    <row r="87" spans="1:61" x14ac:dyDescent="0.25">
      <c r="A87" s="42" t="s">
        <v>362</v>
      </c>
      <c r="B87" s="43">
        <v>1</v>
      </c>
      <c r="C87" s="42" t="s">
        <v>64</v>
      </c>
      <c r="D87" t="s">
        <v>52</v>
      </c>
      <c r="E87" s="6"/>
      <c r="F87" s="7"/>
      <c r="G87" s="8"/>
      <c r="H87" s="9"/>
      <c r="J87" s="10"/>
      <c r="K87" s="11"/>
      <c r="L87" s="12"/>
      <c r="M87" s="13"/>
      <c r="O87" s="6"/>
      <c r="P87" s="7"/>
      <c r="Q87" s="8"/>
      <c r="R87" s="9"/>
      <c r="T87" s="10"/>
      <c r="U87" s="11"/>
      <c r="V87" s="12"/>
      <c r="W87" s="13"/>
      <c r="Y87" s="6"/>
      <c r="Z87" s="7"/>
      <c r="AA87" s="8"/>
      <c r="AB87" s="9"/>
      <c r="AD87" s="10"/>
      <c r="AE87" s="11"/>
      <c r="AF87" s="12"/>
      <c r="AG87" s="13"/>
      <c r="AI87" s="6"/>
      <c r="AJ87" s="7"/>
      <c r="AK87" s="8"/>
      <c r="AL87" s="9"/>
      <c r="AN87" s="10"/>
      <c r="AO87" s="11"/>
      <c r="AP87" s="12"/>
      <c r="AQ87" s="13"/>
      <c r="AS87" s="6"/>
      <c r="AT87" s="7"/>
      <c r="AU87" s="8"/>
      <c r="AV87" s="9"/>
      <c r="AX87" s="10"/>
      <c r="AY87" s="11"/>
      <c r="AZ87" s="12"/>
      <c r="BA87" s="13"/>
      <c r="BC87" s="6"/>
      <c r="BD87" s="7"/>
      <c r="BE87" s="8"/>
      <c r="BF87" s="9"/>
      <c r="BG87" s="4"/>
      <c r="BH87" s="46">
        <f t="shared" si="2"/>
        <v>0</v>
      </c>
      <c r="BI87" s="47">
        <f t="shared" si="3"/>
        <v>0</v>
      </c>
    </row>
    <row r="88" spans="1:61" x14ac:dyDescent="0.25">
      <c r="A88" s="42" t="s">
        <v>217</v>
      </c>
      <c r="B88" s="43">
        <v>2</v>
      </c>
      <c r="C88" s="42" t="s">
        <v>64</v>
      </c>
      <c r="D88" t="s">
        <v>52</v>
      </c>
      <c r="E88" s="6"/>
      <c r="F88" s="7"/>
      <c r="G88" s="8"/>
      <c r="H88" s="9"/>
      <c r="J88" s="10"/>
      <c r="K88" s="11"/>
      <c r="L88" s="12"/>
      <c r="M88" s="13"/>
      <c r="O88" s="6"/>
      <c r="P88" s="7"/>
      <c r="Q88" s="8"/>
      <c r="R88" s="9"/>
      <c r="T88" s="10"/>
      <c r="U88" s="11"/>
      <c r="V88" s="12"/>
      <c r="W88" s="13"/>
      <c r="Y88" s="6"/>
      <c r="Z88" s="7"/>
      <c r="AA88" s="8"/>
      <c r="AB88" s="9"/>
      <c r="AD88" s="10"/>
      <c r="AE88" s="11"/>
      <c r="AF88" s="12"/>
      <c r="AG88" s="13"/>
      <c r="AI88" s="6"/>
      <c r="AJ88" s="7"/>
      <c r="AK88" s="8"/>
      <c r="AL88" s="9"/>
      <c r="AN88" s="10"/>
      <c r="AO88" s="11"/>
      <c r="AP88" s="12"/>
      <c r="AQ88" s="13"/>
      <c r="AS88" s="6"/>
      <c r="AT88" s="7"/>
      <c r="AU88" s="8"/>
      <c r="AV88" s="9"/>
      <c r="AX88" s="10"/>
      <c r="AY88" s="11"/>
      <c r="AZ88" s="12"/>
      <c r="BA88" s="13"/>
      <c r="BC88" s="6"/>
      <c r="BD88" s="7"/>
      <c r="BE88" s="8"/>
      <c r="BF88" s="9"/>
      <c r="BG88" s="4"/>
      <c r="BH88" s="46">
        <f t="shared" ref="BH88:BH173" si="10">SUM(E88:BF88)</f>
        <v>0</v>
      </c>
      <c r="BI88" s="47">
        <f t="shared" ref="BI88:BI173" si="11">(SUM(E88:BG88)*$D$2)</f>
        <v>0</v>
      </c>
    </row>
    <row r="89" spans="1:61" x14ac:dyDescent="0.25">
      <c r="A89" s="42" t="s">
        <v>216</v>
      </c>
      <c r="B89" s="43">
        <v>2</v>
      </c>
      <c r="C89" s="42" t="s">
        <v>64</v>
      </c>
      <c r="D89" t="s">
        <v>52</v>
      </c>
      <c r="E89" s="6"/>
      <c r="F89" s="7"/>
      <c r="G89" s="8"/>
      <c r="H89" s="9"/>
      <c r="J89" s="10"/>
      <c r="K89" s="11"/>
      <c r="L89" s="12"/>
      <c r="M89" s="13"/>
      <c r="O89" s="6"/>
      <c r="P89" s="7"/>
      <c r="Q89" s="8"/>
      <c r="R89" s="9"/>
      <c r="T89" s="10"/>
      <c r="U89" s="11"/>
      <c r="V89" s="12"/>
      <c r="W89" s="13"/>
      <c r="Y89" s="6"/>
      <c r="Z89" s="7"/>
      <c r="AA89" s="8"/>
      <c r="AB89" s="9"/>
      <c r="AD89" s="10"/>
      <c r="AE89" s="11"/>
      <c r="AF89" s="12"/>
      <c r="AG89" s="13"/>
      <c r="AI89" s="6"/>
      <c r="AJ89" s="7"/>
      <c r="AK89" s="8"/>
      <c r="AL89" s="9"/>
      <c r="AN89" s="10"/>
      <c r="AO89" s="11"/>
      <c r="AP89" s="12"/>
      <c r="AQ89" s="13"/>
      <c r="AS89" s="6"/>
      <c r="AT89" s="7"/>
      <c r="AU89" s="8"/>
      <c r="AV89" s="9"/>
      <c r="AX89" s="10"/>
      <c r="AY89" s="11"/>
      <c r="AZ89" s="12"/>
      <c r="BA89" s="13"/>
      <c r="BC89" s="6"/>
      <c r="BD89" s="7"/>
      <c r="BE89" s="8"/>
      <c r="BF89" s="9"/>
      <c r="BG89" s="4"/>
      <c r="BH89" s="46">
        <f t="shared" si="10"/>
        <v>0</v>
      </c>
      <c r="BI89" s="47">
        <f t="shared" si="11"/>
        <v>0</v>
      </c>
    </row>
    <row r="90" spans="1:61" x14ac:dyDescent="0.25">
      <c r="A90" s="42" t="s">
        <v>215</v>
      </c>
      <c r="B90" s="43">
        <v>2</v>
      </c>
      <c r="C90" s="42" t="s">
        <v>64</v>
      </c>
      <c r="D90" t="s">
        <v>52</v>
      </c>
      <c r="E90" s="6"/>
      <c r="F90" s="7"/>
      <c r="G90" s="8"/>
      <c r="H90" s="9"/>
      <c r="J90" s="10"/>
      <c r="K90" s="11"/>
      <c r="L90" s="12"/>
      <c r="M90" s="13"/>
      <c r="O90" s="6"/>
      <c r="P90" s="7"/>
      <c r="Q90" s="8"/>
      <c r="R90" s="9"/>
      <c r="T90" s="10"/>
      <c r="U90" s="11"/>
      <c r="V90" s="12"/>
      <c r="W90" s="13"/>
      <c r="Y90" s="6"/>
      <c r="Z90" s="7"/>
      <c r="AA90" s="8"/>
      <c r="AB90" s="9"/>
      <c r="AD90" s="10"/>
      <c r="AE90" s="11"/>
      <c r="AF90" s="12"/>
      <c r="AG90" s="13"/>
      <c r="AI90" s="6"/>
      <c r="AJ90" s="7"/>
      <c r="AK90" s="8"/>
      <c r="AL90" s="9">
        <v>2</v>
      </c>
      <c r="AN90" s="10"/>
      <c r="AO90" s="11"/>
      <c r="AP90" s="12"/>
      <c r="AQ90" s="13"/>
      <c r="AS90" s="6"/>
      <c r="AT90" s="7"/>
      <c r="AU90" s="8"/>
      <c r="AV90" s="9"/>
      <c r="AX90" s="10"/>
      <c r="AY90" s="11"/>
      <c r="AZ90" s="12"/>
      <c r="BA90" s="13"/>
      <c r="BC90" s="6"/>
      <c r="BD90" s="7"/>
      <c r="BE90" s="8"/>
      <c r="BF90" s="9"/>
      <c r="BG90" s="4"/>
      <c r="BH90" s="46">
        <f t="shared" si="10"/>
        <v>2</v>
      </c>
      <c r="BI90" s="47">
        <f t="shared" si="11"/>
        <v>0.6</v>
      </c>
    </row>
    <row r="91" spans="1:61" x14ac:dyDescent="0.25">
      <c r="A91" s="42" t="s">
        <v>214</v>
      </c>
      <c r="B91" s="43">
        <v>2</v>
      </c>
      <c r="C91" s="42" t="s">
        <v>64</v>
      </c>
      <c r="D91" t="s">
        <v>52</v>
      </c>
      <c r="E91" s="6"/>
      <c r="F91" s="7"/>
      <c r="G91" s="8"/>
      <c r="H91" s="9"/>
      <c r="J91" s="10"/>
      <c r="K91" s="11"/>
      <c r="L91" s="12"/>
      <c r="M91" s="13"/>
      <c r="O91" s="6"/>
      <c r="P91" s="7"/>
      <c r="Q91" s="8"/>
      <c r="R91" s="9"/>
      <c r="T91" s="10"/>
      <c r="U91" s="11"/>
      <c r="V91" s="12"/>
      <c r="W91" s="13"/>
      <c r="Y91" s="6"/>
      <c r="Z91" s="7"/>
      <c r="AA91" s="8"/>
      <c r="AB91" s="9"/>
      <c r="AD91" s="10"/>
      <c r="AE91" s="11"/>
      <c r="AF91" s="12"/>
      <c r="AG91" s="13"/>
      <c r="AI91" s="6"/>
      <c r="AJ91" s="7"/>
      <c r="AK91" s="8"/>
      <c r="AL91" s="9">
        <v>1</v>
      </c>
      <c r="AN91" s="10"/>
      <c r="AO91" s="11"/>
      <c r="AP91" s="12"/>
      <c r="AQ91" s="13"/>
      <c r="AS91" s="6"/>
      <c r="AT91" s="7"/>
      <c r="AU91" s="8"/>
      <c r="AV91" s="9"/>
      <c r="AX91" s="10"/>
      <c r="AY91" s="11"/>
      <c r="AZ91" s="12"/>
      <c r="BA91" s="13"/>
      <c r="BC91" s="6"/>
      <c r="BD91" s="7"/>
      <c r="BE91" s="8"/>
      <c r="BF91" s="9"/>
      <c r="BG91" s="4"/>
      <c r="BH91" s="46">
        <f t="shared" si="10"/>
        <v>1</v>
      </c>
      <c r="BI91" s="47">
        <f t="shared" si="11"/>
        <v>0.3</v>
      </c>
    </row>
    <row r="92" spans="1:61" x14ac:dyDescent="0.25">
      <c r="A92" s="42" t="s">
        <v>213</v>
      </c>
      <c r="B92" s="43">
        <v>2</v>
      </c>
      <c r="C92" s="42" t="s">
        <v>64</v>
      </c>
      <c r="D92" t="s">
        <v>52</v>
      </c>
      <c r="E92" s="6"/>
      <c r="F92" s="7">
        <v>1</v>
      </c>
      <c r="G92" s="8"/>
      <c r="H92" s="9"/>
      <c r="J92" s="10"/>
      <c r="K92" s="11"/>
      <c r="L92" s="12"/>
      <c r="M92" s="13"/>
      <c r="O92" s="6"/>
      <c r="P92" s="7"/>
      <c r="Q92" s="8"/>
      <c r="R92" s="9"/>
      <c r="T92" s="10"/>
      <c r="U92" s="11"/>
      <c r="V92" s="12"/>
      <c r="W92" s="13"/>
      <c r="Y92" s="6"/>
      <c r="Z92" s="7"/>
      <c r="AA92" s="8"/>
      <c r="AB92" s="9"/>
      <c r="AD92" s="10"/>
      <c r="AE92" s="11"/>
      <c r="AF92" s="12"/>
      <c r="AG92" s="13"/>
      <c r="AI92" s="6"/>
      <c r="AJ92" s="7"/>
      <c r="AK92" s="8"/>
      <c r="AL92" s="9"/>
      <c r="AN92" s="10"/>
      <c r="AO92" s="11"/>
      <c r="AP92" s="12"/>
      <c r="AQ92" s="13"/>
      <c r="AS92" s="6"/>
      <c r="AT92" s="7"/>
      <c r="AU92" s="8"/>
      <c r="AV92" s="9"/>
      <c r="AX92" s="10"/>
      <c r="AY92" s="11"/>
      <c r="AZ92" s="12"/>
      <c r="BA92" s="13"/>
      <c r="BC92" s="6"/>
      <c r="BD92" s="7"/>
      <c r="BE92" s="8"/>
      <c r="BF92" s="9"/>
      <c r="BG92" s="4"/>
      <c r="BH92" s="46">
        <f t="shared" si="10"/>
        <v>1</v>
      </c>
      <c r="BI92" s="47">
        <f t="shared" si="11"/>
        <v>0.3</v>
      </c>
    </row>
    <row r="93" spans="1:61" x14ac:dyDescent="0.25">
      <c r="A93" s="42" t="s">
        <v>212</v>
      </c>
      <c r="B93" s="43">
        <v>2</v>
      </c>
      <c r="C93" s="42" t="s">
        <v>64</v>
      </c>
      <c r="D93" t="s">
        <v>52</v>
      </c>
      <c r="E93" s="6">
        <v>4</v>
      </c>
      <c r="F93" s="7"/>
      <c r="G93" s="8"/>
      <c r="H93" s="9"/>
      <c r="J93" s="10"/>
      <c r="K93" s="11"/>
      <c r="L93" s="12"/>
      <c r="M93" s="13"/>
      <c r="O93" s="6"/>
      <c r="P93" s="7"/>
      <c r="Q93" s="8"/>
      <c r="R93" s="9"/>
      <c r="T93" s="10"/>
      <c r="U93" s="11">
        <v>4</v>
      </c>
      <c r="V93" s="12">
        <v>2</v>
      </c>
      <c r="W93" s="13">
        <v>3</v>
      </c>
      <c r="Y93" s="6"/>
      <c r="Z93" s="7"/>
      <c r="AA93" s="8"/>
      <c r="AB93" s="9"/>
      <c r="AD93" s="10"/>
      <c r="AE93" s="11"/>
      <c r="AF93" s="12"/>
      <c r="AG93" s="13"/>
      <c r="AI93" s="6"/>
      <c r="AJ93" s="7">
        <v>4</v>
      </c>
      <c r="AK93" s="8">
        <v>2</v>
      </c>
      <c r="AL93" s="9">
        <v>3</v>
      </c>
      <c r="AN93" s="10">
        <v>3</v>
      </c>
      <c r="AO93" s="11"/>
      <c r="AP93" s="12">
        <v>4</v>
      </c>
      <c r="AQ93" s="13"/>
      <c r="AS93" s="6"/>
      <c r="AT93" s="7"/>
      <c r="AU93" s="8"/>
      <c r="AV93" s="9"/>
      <c r="AX93" s="10"/>
      <c r="AY93" s="11"/>
      <c r="AZ93" s="12"/>
      <c r="BA93" s="13"/>
      <c r="BC93" s="6"/>
      <c r="BD93" s="7"/>
      <c r="BE93" s="8"/>
      <c r="BF93" s="9"/>
      <c r="BG93" s="4"/>
      <c r="BH93" s="46">
        <f t="shared" si="10"/>
        <v>29</v>
      </c>
      <c r="BI93" s="47">
        <f t="shared" si="11"/>
        <v>8.6999999999999993</v>
      </c>
    </row>
    <row r="94" spans="1:61" x14ac:dyDescent="0.25">
      <c r="A94" s="42" t="s">
        <v>211</v>
      </c>
      <c r="B94" s="43">
        <v>10</v>
      </c>
      <c r="C94" s="42" t="s">
        <v>64</v>
      </c>
      <c r="D94" t="s">
        <v>59</v>
      </c>
      <c r="E94" s="6"/>
      <c r="F94" s="7"/>
      <c r="G94" s="8"/>
      <c r="H94" s="9"/>
      <c r="J94" s="10"/>
      <c r="K94" s="11"/>
      <c r="L94" s="12"/>
      <c r="M94" s="13"/>
      <c r="O94" s="6"/>
      <c r="P94" s="7"/>
      <c r="Q94" s="8"/>
      <c r="R94" s="9"/>
      <c r="T94" s="10"/>
      <c r="U94" s="11"/>
      <c r="V94" s="12"/>
      <c r="W94" s="13"/>
      <c r="Y94" s="6"/>
      <c r="Z94" s="7"/>
      <c r="AA94" s="8"/>
      <c r="AB94" s="9"/>
      <c r="AD94" s="10"/>
      <c r="AE94" s="11"/>
      <c r="AF94" s="12"/>
      <c r="AG94" s="13"/>
      <c r="AI94" s="6"/>
      <c r="AJ94" s="7"/>
      <c r="AK94" s="8"/>
      <c r="AL94" s="9"/>
      <c r="AN94" s="10"/>
      <c r="AO94" s="11"/>
      <c r="AP94" s="12"/>
      <c r="AQ94" s="13"/>
      <c r="AS94" s="6"/>
      <c r="AT94" s="7"/>
      <c r="AU94" s="8"/>
      <c r="AV94" s="9"/>
      <c r="AX94" s="10"/>
      <c r="AY94" s="11"/>
      <c r="AZ94" s="12"/>
      <c r="BA94" s="13"/>
      <c r="BC94" s="6"/>
      <c r="BD94" s="7"/>
      <c r="BE94" s="8"/>
      <c r="BF94" s="9"/>
      <c r="BG94" s="4"/>
      <c r="BH94" s="46">
        <f t="shared" si="10"/>
        <v>0</v>
      </c>
      <c r="BI94" s="47">
        <f t="shared" si="11"/>
        <v>0</v>
      </c>
    </row>
    <row r="95" spans="1:61" x14ac:dyDescent="0.25">
      <c r="A95" s="42" t="s">
        <v>210</v>
      </c>
      <c r="B95" s="43">
        <v>10</v>
      </c>
      <c r="C95" s="42" t="s">
        <v>64</v>
      </c>
      <c r="D95" t="s">
        <v>59</v>
      </c>
      <c r="E95" s="6"/>
      <c r="F95" s="7"/>
      <c r="G95" s="8"/>
      <c r="H95" s="9"/>
      <c r="J95" s="10"/>
      <c r="K95" s="11"/>
      <c r="L95" s="12"/>
      <c r="M95" s="13"/>
      <c r="O95" s="6"/>
      <c r="P95" s="7"/>
      <c r="Q95" s="8"/>
      <c r="R95" s="9"/>
      <c r="T95" s="10"/>
      <c r="U95" s="11"/>
      <c r="V95" s="12"/>
      <c r="W95" s="13"/>
      <c r="Y95" s="6"/>
      <c r="Z95" s="7"/>
      <c r="AA95" s="8"/>
      <c r="AB95" s="9"/>
      <c r="AD95" s="10"/>
      <c r="AE95" s="11"/>
      <c r="AF95" s="12"/>
      <c r="AG95" s="13"/>
      <c r="AI95" s="6"/>
      <c r="AJ95" s="7"/>
      <c r="AK95" s="8"/>
      <c r="AL95" s="9"/>
      <c r="AN95" s="10"/>
      <c r="AO95" s="11"/>
      <c r="AP95" s="12"/>
      <c r="AQ95" s="13"/>
      <c r="AS95" s="6"/>
      <c r="AT95" s="7"/>
      <c r="AU95" s="8"/>
      <c r="AV95" s="9"/>
      <c r="AX95" s="10"/>
      <c r="AY95" s="11"/>
      <c r="AZ95" s="12"/>
      <c r="BA95" s="13"/>
      <c r="BC95" s="6"/>
      <c r="BD95" s="7"/>
      <c r="BE95" s="8"/>
      <c r="BF95" s="9"/>
      <c r="BG95" s="4"/>
      <c r="BH95" s="46">
        <f t="shared" si="10"/>
        <v>0</v>
      </c>
      <c r="BI95" s="47">
        <f t="shared" si="11"/>
        <v>0</v>
      </c>
    </row>
    <row r="96" spans="1:61" x14ac:dyDescent="0.25">
      <c r="A96" s="42" t="s">
        <v>363</v>
      </c>
      <c r="B96" s="43">
        <v>10</v>
      </c>
      <c r="C96" s="42" t="s">
        <v>64</v>
      </c>
      <c r="D96" t="s">
        <v>59</v>
      </c>
      <c r="E96" s="6"/>
      <c r="F96" s="7"/>
      <c r="G96" s="8"/>
      <c r="H96" s="9"/>
      <c r="J96" s="10"/>
      <c r="K96" s="11"/>
      <c r="L96" s="12"/>
      <c r="M96" s="13"/>
      <c r="O96" s="6"/>
      <c r="P96" s="7"/>
      <c r="Q96" s="8"/>
      <c r="R96" s="9"/>
      <c r="T96" s="10"/>
      <c r="U96" s="11"/>
      <c r="V96" s="12"/>
      <c r="W96" s="13"/>
      <c r="Y96" s="6"/>
      <c r="Z96" s="7"/>
      <c r="AA96" s="8"/>
      <c r="AB96" s="9"/>
      <c r="AD96" s="10"/>
      <c r="AE96" s="11"/>
      <c r="AF96" s="12"/>
      <c r="AG96" s="13"/>
      <c r="AI96" s="6"/>
      <c r="AJ96" s="7"/>
      <c r="AK96" s="8"/>
      <c r="AL96" s="9"/>
      <c r="AN96" s="10"/>
      <c r="AO96" s="11"/>
      <c r="AP96" s="12"/>
      <c r="AQ96" s="13"/>
      <c r="AS96" s="6"/>
      <c r="AT96" s="7"/>
      <c r="AU96" s="8"/>
      <c r="AV96" s="9"/>
      <c r="AX96" s="10"/>
      <c r="AY96" s="11"/>
      <c r="AZ96" s="12"/>
      <c r="BA96" s="13"/>
      <c r="BC96" s="6"/>
      <c r="BD96" s="7"/>
      <c r="BE96" s="8"/>
      <c r="BF96" s="9"/>
      <c r="BG96" s="4"/>
      <c r="BH96" s="46">
        <f t="shared" si="10"/>
        <v>0</v>
      </c>
      <c r="BI96" s="47">
        <f t="shared" si="11"/>
        <v>0</v>
      </c>
    </row>
    <row r="97" spans="1:61" x14ac:dyDescent="0.25">
      <c r="A97" s="42" t="s">
        <v>208</v>
      </c>
      <c r="B97" s="43">
        <v>10</v>
      </c>
      <c r="C97" s="42" t="s">
        <v>64</v>
      </c>
      <c r="D97" t="s">
        <v>59</v>
      </c>
      <c r="E97" s="6"/>
      <c r="F97" s="7"/>
      <c r="G97" s="8"/>
      <c r="H97" s="9"/>
      <c r="J97" s="10"/>
      <c r="K97" s="11"/>
      <c r="L97" s="12"/>
      <c r="M97" s="13"/>
      <c r="O97" s="6"/>
      <c r="P97" s="7"/>
      <c r="Q97" s="8"/>
      <c r="R97" s="9"/>
      <c r="T97" s="10"/>
      <c r="U97" s="11"/>
      <c r="V97" s="12"/>
      <c r="W97" s="13"/>
      <c r="Y97" s="6"/>
      <c r="Z97" s="7"/>
      <c r="AA97" s="8"/>
      <c r="AB97" s="9"/>
      <c r="AD97" s="10"/>
      <c r="AE97" s="11"/>
      <c r="AF97" s="12"/>
      <c r="AG97" s="13"/>
      <c r="AI97" s="6"/>
      <c r="AJ97" s="7"/>
      <c r="AK97" s="8"/>
      <c r="AL97" s="9"/>
      <c r="AN97" s="10"/>
      <c r="AO97" s="11"/>
      <c r="AP97" s="12"/>
      <c r="AQ97" s="13"/>
      <c r="AS97" s="6"/>
      <c r="AT97" s="7"/>
      <c r="AU97" s="8"/>
      <c r="AV97" s="9"/>
      <c r="AX97" s="10"/>
      <c r="AY97" s="11"/>
      <c r="AZ97" s="12"/>
      <c r="BA97" s="13"/>
      <c r="BC97" s="6"/>
      <c r="BD97" s="7"/>
      <c r="BE97" s="8"/>
      <c r="BF97" s="9"/>
      <c r="BG97" s="4"/>
      <c r="BH97" s="46">
        <f t="shared" si="10"/>
        <v>0</v>
      </c>
      <c r="BI97" s="47">
        <f t="shared" si="11"/>
        <v>0</v>
      </c>
    </row>
    <row r="98" spans="1:61" x14ac:dyDescent="0.25">
      <c r="A98" s="42" t="s">
        <v>207</v>
      </c>
      <c r="B98" s="43">
        <v>3</v>
      </c>
      <c r="C98" s="42" t="s">
        <v>64</v>
      </c>
      <c r="D98" t="s">
        <v>56</v>
      </c>
      <c r="E98" s="6"/>
      <c r="F98" s="7">
        <v>1</v>
      </c>
      <c r="G98" s="8"/>
      <c r="H98" s="9"/>
      <c r="J98" s="10"/>
      <c r="K98" s="11"/>
      <c r="L98" s="12"/>
      <c r="M98" s="13"/>
      <c r="O98" s="6"/>
      <c r="P98" s="7"/>
      <c r="Q98" s="8"/>
      <c r="R98" s="9"/>
      <c r="T98" s="10"/>
      <c r="U98" s="11"/>
      <c r="V98" s="12"/>
      <c r="W98" s="13"/>
      <c r="Y98" s="6"/>
      <c r="Z98" s="7"/>
      <c r="AA98" s="8"/>
      <c r="AB98" s="9"/>
      <c r="AD98" s="10"/>
      <c r="AE98" s="11"/>
      <c r="AF98" s="12"/>
      <c r="AG98" s="13"/>
      <c r="AI98" s="6"/>
      <c r="AJ98" s="7"/>
      <c r="AK98" s="8"/>
      <c r="AL98" s="9"/>
      <c r="AN98" s="10"/>
      <c r="AO98" s="11"/>
      <c r="AP98" s="12"/>
      <c r="AQ98" s="13"/>
      <c r="AS98" s="6"/>
      <c r="AT98" s="7"/>
      <c r="AU98" s="8"/>
      <c r="AV98" s="9"/>
      <c r="AX98" s="10"/>
      <c r="AY98" s="11"/>
      <c r="AZ98" s="12"/>
      <c r="BA98" s="13"/>
      <c r="BC98" s="6"/>
      <c r="BD98" s="7"/>
      <c r="BE98" s="8"/>
      <c r="BF98" s="9"/>
      <c r="BG98" s="4"/>
      <c r="BH98" s="46">
        <f t="shared" ref="BH98" si="12">SUM(E98:BF98)</f>
        <v>1</v>
      </c>
      <c r="BI98" s="47">
        <f t="shared" ref="BI98" si="13">(SUM(E98:BG98)*$D$2)</f>
        <v>0.3</v>
      </c>
    </row>
    <row r="99" spans="1:61" x14ac:dyDescent="0.25">
      <c r="A99" s="42" t="s">
        <v>364</v>
      </c>
      <c r="B99" s="43">
        <v>3</v>
      </c>
      <c r="C99" s="42" t="s">
        <v>64</v>
      </c>
      <c r="D99" t="s">
        <v>56</v>
      </c>
      <c r="E99" s="6"/>
      <c r="F99" s="7">
        <v>2</v>
      </c>
      <c r="G99" s="8"/>
      <c r="H99" s="9"/>
      <c r="J99" s="10"/>
      <c r="K99" s="11"/>
      <c r="L99" s="12"/>
      <c r="M99" s="13"/>
      <c r="O99" s="6"/>
      <c r="P99" s="7"/>
      <c r="Q99" s="8"/>
      <c r="R99" s="9"/>
      <c r="T99" s="10"/>
      <c r="U99" s="11"/>
      <c r="V99" s="12"/>
      <c r="W99" s="13"/>
      <c r="Y99" s="6"/>
      <c r="Z99" s="7"/>
      <c r="AA99" s="8"/>
      <c r="AB99" s="9"/>
      <c r="AD99" s="10"/>
      <c r="AE99" s="11"/>
      <c r="AF99" s="12"/>
      <c r="AG99" s="13"/>
      <c r="AI99" s="6"/>
      <c r="AJ99" s="7"/>
      <c r="AK99" s="8"/>
      <c r="AL99" s="9"/>
      <c r="AN99" s="10"/>
      <c r="AO99" s="11"/>
      <c r="AP99" s="12"/>
      <c r="AQ99" s="13"/>
      <c r="AS99" s="6"/>
      <c r="AT99" s="7"/>
      <c r="AU99" s="8"/>
      <c r="AV99" s="9"/>
      <c r="AX99" s="10"/>
      <c r="AY99" s="11"/>
      <c r="AZ99" s="12"/>
      <c r="BA99" s="13"/>
      <c r="BC99" s="6"/>
      <c r="BD99" s="7"/>
      <c r="BE99" s="8"/>
      <c r="BF99" s="9"/>
      <c r="BG99" s="4"/>
      <c r="BH99" s="46">
        <f t="shared" si="10"/>
        <v>2</v>
      </c>
      <c r="BI99" s="47">
        <f t="shared" si="11"/>
        <v>0.6</v>
      </c>
    </row>
    <row r="100" spans="1:61" x14ac:dyDescent="0.25">
      <c r="A100" s="42" t="s">
        <v>206</v>
      </c>
      <c r="B100" s="43">
        <v>3</v>
      </c>
      <c r="C100" s="42" t="s">
        <v>64</v>
      </c>
      <c r="D100" t="s">
        <v>56</v>
      </c>
      <c r="E100" s="6"/>
      <c r="F100" s="7"/>
      <c r="G100" s="8"/>
      <c r="H100" s="9"/>
      <c r="J100" s="10"/>
      <c r="K100" s="11"/>
      <c r="L100" s="12"/>
      <c r="M100" s="13"/>
      <c r="O100" s="6"/>
      <c r="P100" s="7"/>
      <c r="Q100" s="8"/>
      <c r="R100" s="9"/>
      <c r="T100" s="10"/>
      <c r="U100" s="11"/>
      <c r="V100" s="12"/>
      <c r="W100" s="13"/>
      <c r="Y100" s="6"/>
      <c r="Z100" s="7"/>
      <c r="AA100" s="8"/>
      <c r="AB100" s="9"/>
      <c r="AD100" s="10"/>
      <c r="AE100" s="11"/>
      <c r="AF100" s="12"/>
      <c r="AG100" s="13"/>
      <c r="AI100" s="6"/>
      <c r="AJ100" s="7"/>
      <c r="AK100" s="8"/>
      <c r="AL100" s="9"/>
      <c r="AN100" s="10"/>
      <c r="AO100" s="11"/>
      <c r="AP100" s="12"/>
      <c r="AQ100" s="13"/>
      <c r="AS100" s="6"/>
      <c r="AT100" s="7"/>
      <c r="AU100" s="8"/>
      <c r="AV100" s="9"/>
      <c r="AX100" s="10"/>
      <c r="AY100" s="11"/>
      <c r="AZ100" s="12"/>
      <c r="BA100" s="13"/>
      <c r="BC100" s="6"/>
      <c r="BD100" s="7"/>
      <c r="BE100" s="8"/>
      <c r="BF100" s="9"/>
      <c r="BG100" s="4"/>
      <c r="BH100" s="46">
        <f t="shared" si="10"/>
        <v>0</v>
      </c>
      <c r="BI100" s="47">
        <f t="shared" si="11"/>
        <v>0</v>
      </c>
    </row>
    <row r="101" spans="1:61" x14ac:dyDescent="0.25">
      <c r="A101" s="42" t="s">
        <v>205</v>
      </c>
      <c r="B101" s="43">
        <v>3</v>
      </c>
      <c r="C101" s="42" t="s">
        <v>64</v>
      </c>
      <c r="D101" t="s">
        <v>56</v>
      </c>
      <c r="E101" s="6"/>
      <c r="F101" s="7"/>
      <c r="G101" s="8"/>
      <c r="H101" s="9"/>
      <c r="J101" s="10"/>
      <c r="K101" s="11"/>
      <c r="L101" s="12"/>
      <c r="M101" s="13">
        <v>1</v>
      </c>
      <c r="O101" s="6"/>
      <c r="P101" s="7"/>
      <c r="Q101" s="8"/>
      <c r="R101" s="9"/>
      <c r="T101" s="10"/>
      <c r="U101" s="11"/>
      <c r="V101" s="12"/>
      <c r="W101" s="13"/>
      <c r="Y101" s="6"/>
      <c r="Z101" s="7"/>
      <c r="AA101" s="8"/>
      <c r="AB101" s="9"/>
      <c r="AD101" s="10"/>
      <c r="AE101" s="11"/>
      <c r="AF101" s="12"/>
      <c r="AG101" s="13"/>
      <c r="AI101" s="6"/>
      <c r="AJ101" s="7"/>
      <c r="AK101" s="8"/>
      <c r="AL101" s="9"/>
      <c r="AN101" s="10"/>
      <c r="AO101" s="11"/>
      <c r="AP101" s="12"/>
      <c r="AQ101" s="13"/>
      <c r="AS101" s="6"/>
      <c r="AT101" s="7"/>
      <c r="AU101" s="8"/>
      <c r="AV101" s="9"/>
      <c r="AX101" s="10"/>
      <c r="AY101" s="11"/>
      <c r="AZ101" s="12"/>
      <c r="BA101" s="13"/>
      <c r="BC101" s="6"/>
      <c r="BD101" s="7"/>
      <c r="BE101" s="8"/>
      <c r="BF101" s="9"/>
      <c r="BG101" s="4"/>
      <c r="BH101" s="46">
        <f t="shared" si="10"/>
        <v>1</v>
      </c>
      <c r="BI101" s="47">
        <f t="shared" si="11"/>
        <v>0.3</v>
      </c>
    </row>
    <row r="102" spans="1:61" x14ac:dyDescent="0.25">
      <c r="A102" s="42" t="s">
        <v>204</v>
      </c>
      <c r="B102" s="43">
        <v>3</v>
      </c>
      <c r="C102" s="42" t="s">
        <v>64</v>
      </c>
      <c r="D102" t="s">
        <v>56</v>
      </c>
      <c r="E102" s="6"/>
      <c r="F102" s="7"/>
      <c r="G102" s="8"/>
      <c r="H102" s="9"/>
      <c r="J102" s="10"/>
      <c r="K102" s="11"/>
      <c r="L102" s="12"/>
      <c r="M102" s="13"/>
      <c r="O102" s="6"/>
      <c r="P102" s="7"/>
      <c r="Q102" s="8"/>
      <c r="R102" s="9"/>
      <c r="T102" s="10"/>
      <c r="U102" s="11"/>
      <c r="V102" s="12"/>
      <c r="W102" s="13"/>
      <c r="Y102" s="6"/>
      <c r="Z102" s="7"/>
      <c r="AA102" s="8"/>
      <c r="AB102" s="9"/>
      <c r="AD102" s="10"/>
      <c r="AE102" s="11"/>
      <c r="AF102" s="12"/>
      <c r="AG102" s="13"/>
      <c r="AI102" s="6"/>
      <c r="AJ102" s="7"/>
      <c r="AK102" s="8"/>
      <c r="AL102" s="9"/>
      <c r="AN102" s="10"/>
      <c r="AO102" s="11"/>
      <c r="AP102" s="12"/>
      <c r="AQ102" s="13"/>
      <c r="AS102" s="6"/>
      <c r="AT102" s="7"/>
      <c r="AU102" s="8"/>
      <c r="AV102" s="9"/>
      <c r="AX102" s="10"/>
      <c r="AY102" s="11"/>
      <c r="AZ102" s="12"/>
      <c r="BA102" s="13"/>
      <c r="BC102" s="6"/>
      <c r="BD102" s="7"/>
      <c r="BE102" s="8"/>
      <c r="BF102" s="9"/>
      <c r="BG102" s="4"/>
      <c r="BH102" s="46">
        <f t="shared" ref="BH102" si="14">SUM(E102:BF102)</f>
        <v>0</v>
      </c>
      <c r="BI102" s="47">
        <f t="shared" ref="BI102" si="15">(SUM(E102:BG102)*$D$2)</f>
        <v>0</v>
      </c>
    </row>
    <row r="103" spans="1:61" x14ac:dyDescent="0.25">
      <c r="A103" s="42" t="s">
        <v>347</v>
      </c>
      <c r="B103" s="43">
        <v>3</v>
      </c>
      <c r="C103" s="42" t="s">
        <v>64</v>
      </c>
      <c r="D103" t="s">
        <v>56</v>
      </c>
      <c r="E103" s="6"/>
      <c r="F103" s="7">
        <v>4</v>
      </c>
      <c r="G103" s="8"/>
      <c r="H103" s="9"/>
      <c r="J103" s="10"/>
      <c r="K103" s="11"/>
      <c r="L103" s="12"/>
      <c r="M103" s="13"/>
      <c r="O103" s="6"/>
      <c r="P103" s="7"/>
      <c r="Q103" s="8"/>
      <c r="R103" s="9"/>
      <c r="T103" s="10"/>
      <c r="U103" s="11"/>
      <c r="V103" s="12"/>
      <c r="W103" s="13"/>
      <c r="Y103" s="6"/>
      <c r="Z103" s="7"/>
      <c r="AA103" s="8"/>
      <c r="AB103" s="9"/>
      <c r="AD103" s="10"/>
      <c r="AE103" s="11"/>
      <c r="AF103" s="12"/>
      <c r="AG103" s="13"/>
      <c r="AI103" s="6"/>
      <c r="AJ103" s="7"/>
      <c r="AK103" s="8"/>
      <c r="AL103" s="9">
        <v>2</v>
      </c>
      <c r="AN103" s="10"/>
      <c r="AO103" s="11"/>
      <c r="AP103" s="12"/>
      <c r="AQ103" s="13"/>
      <c r="AS103" s="6"/>
      <c r="AT103" s="7"/>
      <c r="AU103" s="8"/>
      <c r="AV103" s="9"/>
      <c r="AX103" s="10"/>
      <c r="AY103" s="11"/>
      <c r="AZ103" s="12"/>
      <c r="BA103" s="13"/>
      <c r="BC103" s="6"/>
      <c r="BD103" s="7"/>
      <c r="BE103" s="8"/>
      <c r="BF103" s="9"/>
      <c r="BG103" s="4"/>
      <c r="BH103" s="46">
        <f>SUM(E103:BF103)</f>
        <v>6</v>
      </c>
      <c r="BI103" s="47">
        <f t="shared" si="11"/>
        <v>1.7999999999999998</v>
      </c>
    </row>
    <row r="104" spans="1:61" x14ac:dyDescent="0.25">
      <c r="A104" s="42" t="s">
        <v>348</v>
      </c>
      <c r="B104" s="43">
        <v>3</v>
      </c>
      <c r="C104" s="42" t="s">
        <v>64</v>
      </c>
      <c r="D104" t="s">
        <v>56</v>
      </c>
      <c r="E104" s="6"/>
      <c r="F104" s="7"/>
      <c r="G104" s="8"/>
      <c r="H104" s="9"/>
      <c r="J104" s="10"/>
      <c r="K104" s="11"/>
      <c r="L104" s="12"/>
      <c r="M104" s="13"/>
      <c r="O104" s="6"/>
      <c r="P104" s="7"/>
      <c r="Q104" s="8"/>
      <c r="R104" s="9"/>
      <c r="T104" s="10"/>
      <c r="U104" s="11"/>
      <c r="V104" s="12"/>
      <c r="W104" s="13"/>
      <c r="Y104" s="6"/>
      <c r="Z104" s="7"/>
      <c r="AA104" s="8"/>
      <c r="AB104" s="9"/>
      <c r="AD104" s="10"/>
      <c r="AE104" s="11"/>
      <c r="AF104" s="12"/>
      <c r="AG104" s="13"/>
      <c r="AI104" s="6"/>
      <c r="AJ104" s="7"/>
      <c r="AK104" s="8"/>
      <c r="AL104" s="9"/>
      <c r="AN104" s="10"/>
      <c r="AO104" s="11"/>
      <c r="AP104" s="12"/>
      <c r="AQ104" s="13"/>
      <c r="AS104" s="6"/>
      <c r="AT104" s="7"/>
      <c r="AU104" s="8"/>
      <c r="AV104" s="9"/>
      <c r="AX104" s="10"/>
      <c r="AY104" s="11"/>
      <c r="AZ104" s="12"/>
      <c r="BA104" s="13"/>
      <c r="BC104" s="6"/>
      <c r="BD104" s="7"/>
      <c r="BE104" s="8"/>
      <c r="BF104" s="9"/>
      <c r="BG104" s="4"/>
      <c r="BH104" s="46">
        <f>SUM(E104:BF104)</f>
        <v>0</v>
      </c>
      <c r="BI104" s="47">
        <f t="shared" si="11"/>
        <v>0</v>
      </c>
    </row>
    <row r="105" spans="1:61" x14ac:dyDescent="0.25">
      <c r="A105" s="42" t="s">
        <v>203</v>
      </c>
      <c r="B105" s="43">
        <v>5</v>
      </c>
      <c r="C105" s="42" t="s">
        <v>64</v>
      </c>
      <c r="D105" t="s">
        <v>58</v>
      </c>
      <c r="E105" s="6"/>
      <c r="F105" s="7"/>
      <c r="G105" s="8"/>
      <c r="H105" s="9"/>
      <c r="J105" s="10"/>
      <c r="K105" s="11"/>
      <c r="L105" s="12"/>
      <c r="M105" s="13">
        <v>1</v>
      </c>
      <c r="O105" s="6"/>
      <c r="P105" s="7"/>
      <c r="Q105" s="8"/>
      <c r="R105" s="9"/>
      <c r="T105" s="10"/>
      <c r="U105" s="11"/>
      <c r="V105" s="12"/>
      <c r="W105" s="13"/>
      <c r="Y105" s="6"/>
      <c r="Z105" s="7"/>
      <c r="AA105" s="8"/>
      <c r="AB105" s="9"/>
      <c r="AD105" s="10"/>
      <c r="AE105" s="11"/>
      <c r="AF105" s="12"/>
      <c r="AG105" s="13"/>
      <c r="AI105" s="6"/>
      <c r="AJ105" s="7"/>
      <c r="AK105" s="8"/>
      <c r="AL105" s="9"/>
      <c r="AN105" s="10"/>
      <c r="AO105" s="11"/>
      <c r="AP105" s="12"/>
      <c r="AQ105" s="13"/>
      <c r="AS105" s="6"/>
      <c r="AT105" s="7"/>
      <c r="AU105" s="8"/>
      <c r="AV105" s="9"/>
      <c r="AX105" s="10"/>
      <c r="AY105" s="11"/>
      <c r="AZ105" s="12"/>
      <c r="BA105" s="13"/>
      <c r="BC105" s="6"/>
      <c r="BD105" s="7"/>
      <c r="BE105" s="8"/>
      <c r="BF105" s="9"/>
      <c r="BG105" s="4"/>
      <c r="BH105" s="46">
        <f t="shared" si="10"/>
        <v>1</v>
      </c>
      <c r="BI105" s="47">
        <f t="shared" si="11"/>
        <v>0.3</v>
      </c>
    </row>
    <row r="106" spans="1:61" x14ac:dyDescent="0.25">
      <c r="A106" s="42" t="s">
        <v>365</v>
      </c>
      <c r="B106" s="43">
        <v>5</v>
      </c>
      <c r="C106" s="42" t="s">
        <v>64</v>
      </c>
      <c r="D106" t="s">
        <v>58</v>
      </c>
      <c r="E106" s="6"/>
      <c r="F106" s="7">
        <v>3</v>
      </c>
      <c r="G106" s="8">
        <v>1</v>
      </c>
      <c r="H106" s="9"/>
      <c r="J106" s="10"/>
      <c r="K106" s="11">
        <v>2</v>
      </c>
      <c r="L106" s="12"/>
      <c r="M106" s="13">
        <v>6</v>
      </c>
      <c r="O106" s="6"/>
      <c r="P106" s="7"/>
      <c r="Q106" s="8"/>
      <c r="R106" s="9"/>
      <c r="T106" s="10"/>
      <c r="U106" s="11"/>
      <c r="V106" s="12"/>
      <c r="W106" s="13"/>
      <c r="Y106" s="6"/>
      <c r="Z106" s="7"/>
      <c r="AA106" s="8"/>
      <c r="AB106" s="9"/>
      <c r="AD106" s="10"/>
      <c r="AE106" s="11"/>
      <c r="AF106" s="12"/>
      <c r="AG106" s="13"/>
      <c r="AI106" s="6"/>
      <c r="AJ106" s="7"/>
      <c r="AK106" s="8"/>
      <c r="AL106" s="9"/>
      <c r="AN106" s="10"/>
      <c r="AO106" s="11"/>
      <c r="AP106" s="12"/>
      <c r="AQ106" s="13"/>
      <c r="AS106" s="6"/>
      <c r="AT106" s="7"/>
      <c r="AU106" s="8"/>
      <c r="AV106" s="9"/>
      <c r="AX106" s="10"/>
      <c r="AY106" s="11"/>
      <c r="AZ106" s="12"/>
      <c r="BA106" s="13"/>
      <c r="BC106" s="6"/>
      <c r="BD106" s="7"/>
      <c r="BE106" s="8"/>
      <c r="BF106" s="9"/>
      <c r="BG106" s="4"/>
      <c r="BH106" s="46">
        <f t="shared" si="10"/>
        <v>12</v>
      </c>
      <c r="BI106" s="47">
        <f t="shared" si="11"/>
        <v>3.5999999999999996</v>
      </c>
    </row>
    <row r="107" spans="1:61" x14ac:dyDescent="0.25">
      <c r="A107" s="42" t="s">
        <v>202</v>
      </c>
      <c r="B107" s="43">
        <v>5</v>
      </c>
      <c r="C107" s="42" t="s">
        <v>64</v>
      </c>
      <c r="D107" t="s">
        <v>58</v>
      </c>
      <c r="E107" s="6"/>
      <c r="F107" s="7"/>
      <c r="G107" s="8"/>
      <c r="H107" s="9"/>
      <c r="J107" s="10"/>
      <c r="K107" s="11"/>
      <c r="L107" s="12"/>
      <c r="M107" s="13"/>
      <c r="O107" s="6"/>
      <c r="P107" s="7"/>
      <c r="Q107" s="8"/>
      <c r="R107" s="9"/>
      <c r="T107" s="10"/>
      <c r="U107" s="11"/>
      <c r="V107" s="12"/>
      <c r="W107" s="13"/>
      <c r="Y107" s="6"/>
      <c r="Z107" s="7"/>
      <c r="AA107" s="8"/>
      <c r="AB107" s="9"/>
      <c r="AD107" s="10"/>
      <c r="AE107" s="11"/>
      <c r="AF107" s="12"/>
      <c r="AG107" s="13"/>
      <c r="AI107" s="6"/>
      <c r="AJ107" s="7"/>
      <c r="AK107" s="8"/>
      <c r="AL107" s="9"/>
      <c r="AN107" s="10"/>
      <c r="AO107" s="11"/>
      <c r="AP107" s="12"/>
      <c r="AQ107" s="13"/>
      <c r="AS107" s="6"/>
      <c r="AT107" s="7"/>
      <c r="AU107" s="8"/>
      <c r="AV107" s="9"/>
      <c r="AX107" s="10"/>
      <c r="AY107" s="11"/>
      <c r="AZ107" s="12"/>
      <c r="BA107" s="13"/>
      <c r="BC107" s="6"/>
      <c r="BD107" s="7"/>
      <c r="BE107" s="8"/>
      <c r="BF107" s="9"/>
      <c r="BG107" s="4"/>
      <c r="BH107" s="46">
        <f t="shared" si="10"/>
        <v>0</v>
      </c>
      <c r="BI107" s="47">
        <f t="shared" si="11"/>
        <v>0</v>
      </c>
    </row>
    <row r="108" spans="1:61" x14ac:dyDescent="0.25">
      <c r="A108" s="42" t="s">
        <v>201</v>
      </c>
      <c r="B108" s="43">
        <v>5</v>
      </c>
      <c r="C108" s="42" t="s">
        <v>64</v>
      </c>
      <c r="D108" t="s">
        <v>58</v>
      </c>
      <c r="E108" s="6"/>
      <c r="F108" s="7"/>
      <c r="G108" s="8"/>
      <c r="H108" s="9"/>
      <c r="J108" s="10"/>
      <c r="K108" s="11"/>
      <c r="L108" s="12"/>
      <c r="M108" s="13"/>
      <c r="O108" s="6"/>
      <c r="P108" s="7"/>
      <c r="Q108" s="8"/>
      <c r="R108" s="9"/>
      <c r="T108" s="10"/>
      <c r="U108" s="11"/>
      <c r="V108" s="12"/>
      <c r="W108" s="13"/>
      <c r="Y108" s="6"/>
      <c r="Z108" s="7"/>
      <c r="AA108" s="8"/>
      <c r="AB108" s="9"/>
      <c r="AD108" s="10"/>
      <c r="AE108" s="11"/>
      <c r="AF108" s="12"/>
      <c r="AG108" s="13"/>
      <c r="AI108" s="6"/>
      <c r="AJ108" s="7"/>
      <c r="AK108" s="8"/>
      <c r="AL108" s="9"/>
      <c r="AN108" s="10"/>
      <c r="AO108" s="11"/>
      <c r="AP108" s="12"/>
      <c r="AQ108" s="13"/>
      <c r="AS108" s="6"/>
      <c r="AT108" s="7"/>
      <c r="AU108" s="8"/>
      <c r="AV108" s="9"/>
      <c r="AX108" s="10"/>
      <c r="AY108" s="11"/>
      <c r="AZ108" s="12"/>
      <c r="BA108" s="13"/>
      <c r="BC108" s="6"/>
      <c r="BD108" s="7"/>
      <c r="BE108" s="8"/>
      <c r="BF108" s="9"/>
      <c r="BG108" s="4"/>
      <c r="BH108" s="46">
        <f t="shared" si="10"/>
        <v>0</v>
      </c>
      <c r="BI108" s="47">
        <f t="shared" si="11"/>
        <v>0</v>
      </c>
    </row>
    <row r="109" spans="1:61" x14ac:dyDescent="0.25">
      <c r="A109" s="42" t="s">
        <v>200</v>
      </c>
      <c r="B109" s="43">
        <v>5</v>
      </c>
      <c r="C109" s="42" t="s">
        <v>64</v>
      </c>
      <c r="D109" t="s">
        <v>58</v>
      </c>
      <c r="E109" s="6"/>
      <c r="F109" s="7"/>
      <c r="G109" s="8"/>
      <c r="H109" s="9"/>
      <c r="J109" s="10"/>
      <c r="K109" s="11"/>
      <c r="L109" s="12"/>
      <c r="M109" s="13"/>
      <c r="O109" s="6"/>
      <c r="P109" s="7"/>
      <c r="Q109" s="8"/>
      <c r="R109" s="9"/>
      <c r="T109" s="10"/>
      <c r="U109" s="11"/>
      <c r="V109" s="12"/>
      <c r="W109" s="13"/>
      <c r="Y109" s="6"/>
      <c r="Z109" s="7"/>
      <c r="AA109" s="8"/>
      <c r="AB109" s="9"/>
      <c r="AD109" s="10"/>
      <c r="AE109" s="11"/>
      <c r="AF109" s="12"/>
      <c r="AG109" s="13"/>
      <c r="AI109" s="6"/>
      <c r="AJ109" s="7"/>
      <c r="AK109" s="8"/>
      <c r="AL109" s="9"/>
      <c r="AN109" s="10"/>
      <c r="AO109" s="11"/>
      <c r="AP109" s="12"/>
      <c r="AQ109" s="13"/>
      <c r="AS109" s="6"/>
      <c r="AT109" s="7"/>
      <c r="AU109" s="8"/>
      <c r="AV109" s="9"/>
      <c r="AX109" s="10"/>
      <c r="AY109" s="11"/>
      <c r="AZ109" s="12"/>
      <c r="BA109" s="13"/>
      <c r="BC109" s="6"/>
      <c r="BD109" s="7"/>
      <c r="BE109" s="8"/>
      <c r="BF109" s="9"/>
      <c r="BG109" s="4"/>
      <c r="BH109" s="46">
        <f t="shared" si="10"/>
        <v>0</v>
      </c>
      <c r="BI109" s="47">
        <f t="shared" si="11"/>
        <v>0</v>
      </c>
    </row>
    <row r="110" spans="1:61" x14ac:dyDescent="0.25">
      <c r="A110" s="42" t="s">
        <v>366</v>
      </c>
      <c r="B110" s="43">
        <v>4</v>
      </c>
      <c r="C110" s="42" t="s">
        <v>64</v>
      </c>
      <c r="D110" t="s">
        <v>55</v>
      </c>
      <c r="E110" s="6"/>
      <c r="F110" s="7"/>
      <c r="G110" s="8"/>
      <c r="H110" s="9"/>
      <c r="J110" s="10"/>
      <c r="K110" s="11"/>
      <c r="L110" s="12"/>
      <c r="M110" s="13"/>
      <c r="O110" s="6"/>
      <c r="P110" s="7"/>
      <c r="Q110" s="8"/>
      <c r="R110" s="9"/>
      <c r="T110" s="10"/>
      <c r="U110" s="11"/>
      <c r="V110" s="12"/>
      <c r="W110" s="13"/>
      <c r="Y110" s="6"/>
      <c r="Z110" s="7"/>
      <c r="AA110" s="8"/>
      <c r="AB110" s="9"/>
      <c r="AD110" s="10"/>
      <c r="AE110" s="11"/>
      <c r="AF110" s="12"/>
      <c r="AG110" s="13"/>
      <c r="AI110" s="6"/>
      <c r="AJ110" s="7"/>
      <c r="AK110" s="8"/>
      <c r="AL110" s="9"/>
      <c r="AN110" s="10"/>
      <c r="AO110" s="11"/>
      <c r="AP110" s="12"/>
      <c r="AQ110" s="13"/>
      <c r="AS110" s="6"/>
      <c r="AT110" s="7"/>
      <c r="AU110" s="8"/>
      <c r="AV110" s="9"/>
      <c r="AX110" s="10"/>
      <c r="AY110" s="11"/>
      <c r="AZ110" s="12"/>
      <c r="BA110" s="13"/>
      <c r="BC110" s="6"/>
      <c r="BD110" s="7"/>
      <c r="BE110" s="8"/>
      <c r="BF110" s="9"/>
      <c r="BG110" s="4"/>
      <c r="BH110" s="46">
        <f t="shared" si="10"/>
        <v>0</v>
      </c>
      <c r="BI110" s="47">
        <f t="shared" si="11"/>
        <v>0</v>
      </c>
    </row>
    <row r="111" spans="1:61" x14ac:dyDescent="0.25">
      <c r="A111" s="42" t="s">
        <v>198</v>
      </c>
      <c r="B111" s="43">
        <v>4</v>
      </c>
      <c r="C111" s="42" t="s">
        <v>64</v>
      </c>
      <c r="D111" t="s">
        <v>55</v>
      </c>
      <c r="E111" s="6"/>
      <c r="F111" s="7"/>
      <c r="G111" s="8"/>
      <c r="H111" s="9"/>
      <c r="J111" s="10"/>
      <c r="K111" s="11"/>
      <c r="L111" s="12"/>
      <c r="M111" s="13"/>
      <c r="O111" s="6"/>
      <c r="P111" s="7"/>
      <c r="Q111" s="8"/>
      <c r="R111" s="9"/>
      <c r="T111" s="10"/>
      <c r="U111" s="11"/>
      <c r="V111" s="12"/>
      <c r="W111" s="13"/>
      <c r="Y111" s="6"/>
      <c r="Z111" s="7"/>
      <c r="AA111" s="8"/>
      <c r="AB111" s="9"/>
      <c r="AD111" s="10"/>
      <c r="AE111" s="11"/>
      <c r="AF111" s="12"/>
      <c r="AG111" s="13"/>
      <c r="AI111" s="6"/>
      <c r="AJ111" s="7"/>
      <c r="AK111" s="8"/>
      <c r="AL111" s="9"/>
      <c r="AN111" s="10"/>
      <c r="AO111" s="11"/>
      <c r="AP111" s="12"/>
      <c r="AQ111" s="13"/>
      <c r="AS111" s="6"/>
      <c r="AT111" s="7"/>
      <c r="AU111" s="8"/>
      <c r="AV111" s="9"/>
      <c r="AX111" s="10"/>
      <c r="AY111" s="11"/>
      <c r="AZ111" s="12"/>
      <c r="BA111" s="13"/>
      <c r="BC111" s="6"/>
      <c r="BD111" s="7"/>
      <c r="BE111" s="8"/>
      <c r="BF111" s="9"/>
      <c r="BG111" s="4"/>
      <c r="BH111" s="46">
        <f t="shared" si="10"/>
        <v>0</v>
      </c>
      <c r="BI111" s="47">
        <f t="shared" si="11"/>
        <v>0</v>
      </c>
    </row>
    <row r="112" spans="1:61" x14ac:dyDescent="0.25">
      <c r="A112" s="42" t="s">
        <v>197</v>
      </c>
      <c r="B112" s="43">
        <v>4</v>
      </c>
      <c r="C112" s="42" t="s">
        <v>64</v>
      </c>
      <c r="D112" t="s">
        <v>55</v>
      </c>
      <c r="E112" s="6"/>
      <c r="F112" s="7"/>
      <c r="G112" s="8"/>
      <c r="H112" s="9"/>
      <c r="J112" s="10"/>
      <c r="K112" s="11"/>
      <c r="L112" s="12"/>
      <c r="M112" s="13"/>
      <c r="O112" s="6"/>
      <c r="P112" s="7"/>
      <c r="Q112" s="8"/>
      <c r="R112" s="9"/>
      <c r="T112" s="10"/>
      <c r="U112" s="11"/>
      <c r="V112" s="12"/>
      <c r="W112" s="13"/>
      <c r="Y112" s="6"/>
      <c r="Z112" s="7"/>
      <c r="AA112" s="8"/>
      <c r="AB112" s="9"/>
      <c r="AD112" s="10"/>
      <c r="AE112" s="11"/>
      <c r="AF112" s="12"/>
      <c r="AG112" s="13"/>
      <c r="AI112" s="6"/>
      <c r="AJ112" s="7"/>
      <c r="AK112" s="8"/>
      <c r="AL112" s="9">
        <v>1</v>
      </c>
      <c r="AN112" s="10"/>
      <c r="AO112" s="11"/>
      <c r="AP112" s="12"/>
      <c r="AQ112" s="13"/>
      <c r="AS112" s="6"/>
      <c r="AT112" s="7"/>
      <c r="AU112" s="8"/>
      <c r="AV112" s="9"/>
      <c r="AX112" s="10"/>
      <c r="AY112" s="11"/>
      <c r="AZ112" s="12"/>
      <c r="BA112" s="13"/>
      <c r="BC112" s="6"/>
      <c r="BD112" s="7"/>
      <c r="BE112" s="8"/>
      <c r="BF112" s="9"/>
      <c r="BG112" s="4"/>
      <c r="BH112" s="46">
        <f t="shared" si="10"/>
        <v>1</v>
      </c>
      <c r="BI112" s="47">
        <f t="shared" si="11"/>
        <v>0.3</v>
      </c>
    </row>
    <row r="113" spans="1:61" x14ac:dyDescent="0.25">
      <c r="A113" s="42" t="s">
        <v>377</v>
      </c>
      <c r="B113" s="43">
        <v>4</v>
      </c>
      <c r="C113" s="42" t="s">
        <v>64</v>
      </c>
      <c r="D113" t="s">
        <v>55</v>
      </c>
      <c r="E113" s="6"/>
      <c r="F113" s="7"/>
      <c r="G113" s="8"/>
      <c r="H113" s="9"/>
      <c r="J113" s="10"/>
      <c r="K113" s="11"/>
      <c r="L113" s="12"/>
      <c r="M113" s="13"/>
      <c r="O113" s="6"/>
      <c r="P113" s="7"/>
      <c r="Q113" s="8"/>
      <c r="R113" s="9"/>
      <c r="T113" s="10"/>
      <c r="U113" s="11"/>
      <c r="V113" s="12"/>
      <c r="W113" s="13"/>
      <c r="Y113" s="6"/>
      <c r="Z113" s="7"/>
      <c r="AA113" s="8"/>
      <c r="AB113" s="9"/>
      <c r="AD113" s="10"/>
      <c r="AE113" s="11"/>
      <c r="AF113" s="12"/>
      <c r="AG113" s="13"/>
      <c r="AI113" s="6"/>
      <c r="AJ113" s="7"/>
      <c r="AK113" s="8"/>
      <c r="AL113" s="9"/>
      <c r="AN113" s="10"/>
      <c r="AO113" s="11"/>
      <c r="AP113" s="12"/>
      <c r="AQ113" s="13"/>
      <c r="AS113" s="6"/>
      <c r="AT113" s="7"/>
      <c r="AU113" s="8"/>
      <c r="AV113" s="9"/>
      <c r="AX113" s="10"/>
      <c r="AY113" s="11"/>
      <c r="AZ113" s="12"/>
      <c r="BA113" s="13"/>
      <c r="BC113" s="6"/>
      <c r="BD113" s="7"/>
      <c r="BE113" s="8"/>
      <c r="BF113" s="9"/>
      <c r="BG113" s="4"/>
      <c r="BH113" s="46">
        <f t="shared" si="10"/>
        <v>0</v>
      </c>
      <c r="BI113" s="47">
        <f t="shared" si="11"/>
        <v>0</v>
      </c>
    </row>
    <row r="114" spans="1:61" x14ac:dyDescent="0.25">
      <c r="A114" s="42" t="s">
        <v>195</v>
      </c>
      <c r="B114" s="43">
        <v>4</v>
      </c>
      <c r="C114" s="42" t="s">
        <v>64</v>
      </c>
      <c r="D114" t="s">
        <v>55</v>
      </c>
      <c r="E114" s="6"/>
      <c r="F114" s="7">
        <v>2</v>
      </c>
      <c r="G114" s="8"/>
      <c r="H114" s="9"/>
      <c r="J114" s="10"/>
      <c r="K114" s="11"/>
      <c r="L114" s="12"/>
      <c r="M114" s="13"/>
      <c r="O114" s="6"/>
      <c r="P114" s="7"/>
      <c r="Q114" s="8"/>
      <c r="R114" s="9"/>
      <c r="T114" s="10"/>
      <c r="U114" s="11"/>
      <c r="V114" s="12"/>
      <c r="W114" s="13"/>
      <c r="Y114" s="6"/>
      <c r="Z114" s="7"/>
      <c r="AA114" s="8"/>
      <c r="AB114" s="9"/>
      <c r="AD114" s="10"/>
      <c r="AE114" s="11"/>
      <c r="AF114" s="12"/>
      <c r="AG114" s="13"/>
      <c r="AI114" s="6"/>
      <c r="AJ114" s="7"/>
      <c r="AK114" s="8"/>
      <c r="AL114" s="9">
        <v>2</v>
      </c>
      <c r="AN114" s="10"/>
      <c r="AO114" s="11"/>
      <c r="AP114" s="12"/>
      <c r="AQ114" s="13"/>
      <c r="AS114" s="6"/>
      <c r="AT114" s="7"/>
      <c r="AU114" s="8"/>
      <c r="AV114" s="9"/>
      <c r="AX114" s="10"/>
      <c r="AY114" s="11"/>
      <c r="AZ114" s="12"/>
      <c r="BA114" s="13"/>
      <c r="BC114" s="6"/>
      <c r="BD114" s="7"/>
      <c r="BE114" s="8"/>
      <c r="BF114" s="9"/>
      <c r="BG114" s="4"/>
      <c r="BH114" s="46">
        <f t="shared" si="10"/>
        <v>4</v>
      </c>
      <c r="BI114" s="47">
        <f t="shared" si="11"/>
        <v>1.2</v>
      </c>
    </row>
    <row r="115" spans="1:61" x14ac:dyDescent="0.25">
      <c r="A115" s="42" t="s">
        <v>194</v>
      </c>
      <c r="B115" s="43">
        <v>4</v>
      </c>
      <c r="C115" s="42" t="s">
        <v>64</v>
      </c>
      <c r="D115" t="s">
        <v>55</v>
      </c>
      <c r="E115" s="6"/>
      <c r="F115" s="7">
        <v>1</v>
      </c>
      <c r="G115" s="8"/>
      <c r="H115" s="9"/>
      <c r="J115" s="10"/>
      <c r="K115" s="11"/>
      <c r="L115" s="12"/>
      <c r="M115" s="13"/>
      <c r="O115" s="6"/>
      <c r="P115" s="7"/>
      <c r="Q115" s="8"/>
      <c r="R115" s="9"/>
      <c r="T115" s="10"/>
      <c r="U115" s="11"/>
      <c r="V115" s="12"/>
      <c r="W115" s="13"/>
      <c r="Y115" s="6"/>
      <c r="Z115" s="7"/>
      <c r="AA115" s="8"/>
      <c r="AB115" s="9"/>
      <c r="AD115" s="10"/>
      <c r="AE115" s="11"/>
      <c r="AF115" s="12"/>
      <c r="AG115" s="13"/>
      <c r="AI115" s="6"/>
      <c r="AJ115" s="7"/>
      <c r="AK115" s="8"/>
      <c r="AL115" s="9"/>
      <c r="AN115" s="10"/>
      <c r="AO115" s="11"/>
      <c r="AP115" s="12"/>
      <c r="AQ115" s="13"/>
      <c r="AS115" s="6"/>
      <c r="AT115" s="7"/>
      <c r="AU115" s="8"/>
      <c r="AV115" s="9"/>
      <c r="AX115" s="10"/>
      <c r="AY115" s="11"/>
      <c r="AZ115" s="12"/>
      <c r="BA115" s="13"/>
      <c r="BC115" s="6"/>
      <c r="BD115" s="7"/>
      <c r="BE115" s="8"/>
      <c r="BF115" s="9"/>
      <c r="BG115" s="4"/>
      <c r="BH115" s="46">
        <f t="shared" si="10"/>
        <v>1</v>
      </c>
      <c r="BI115" s="47">
        <f t="shared" si="11"/>
        <v>0.3</v>
      </c>
    </row>
    <row r="116" spans="1:61" x14ac:dyDescent="0.25">
      <c r="A116" s="42" t="s">
        <v>193</v>
      </c>
      <c r="B116" s="43">
        <v>6</v>
      </c>
      <c r="C116" s="42" t="s">
        <v>64</v>
      </c>
      <c r="D116" t="s">
        <v>50</v>
      </c>
      <c r="E116" s="6"/>
      <c r="F116" s="7"/>
      <c r="G116" s="8"/>
      <c r="H116" s="9"/>
      <c r="J116" s="10"/>
      <c r="K116" s="11"/>
      <c r="L116" s="12"/>
      <c r="M116" s="13"/>
      <c r="O116" s="6"/>
      <c r="P116" s="7"/>
      <c r="Q116" s="8"/>
      <c r="R116" s="9"/>
      <c r="T116" s="10"/>
      <c r="U116" s="11"/>
      <c r="V116" s="12"/>
      <c r="W116" s="13"/>
      <c r="Y116" s="6"/>
      <c r="Z116" s="7"/>
      <c r="AA116" s="8"/>
      <c r="AB116" s="9"/>
      <c r="AD116" s="10"/>
      <c r="AE116" s="11"/>
      <c r="AF116" s="12"/>
      <c r="AG116" s="13"/>
      <c r="AI116" s="6"/>
      <c r="AJ116" s="7"/>
      <c r="AK116" s="8"/>
      <c r="AL116" s="9"/>
      <c r="AN116" s="10"/>
      <c r="AO116" s="11"/>
      <c r="AP116" s="12"/>
      <c r="AQ116" s="13"/>
      <c r="AS116" s="6"/>
      <c r="AT116" s="7"/>
      <c r="AU116" s="8"/>
      <c r="AV116" s="9"/>
      <c r="AX116" s="10"/>
      <c r="AY116" s="11"/>
      <c r="AZ116" s="12"/>
      <c r="BA116" s="13"/>
      <c r="BC116" s="6"/>
      <c r="BD116" s="7"/>
      <c r="BE116" s="8"/>
      <c r="BF116" s="9"/>
      <c r="BG116" s="4"/>
      <c r="BH116" s="46">
        <f t="shared" si="10"/>
        <v>0</v>
      </c>
      <c r="BI116" s="47">
        <f t="shared" si="11"/>
        <v>0</v>
      </c>
    </row>
    <row r="117" spans="1:61" x14ac:dyDescent="0.25">
      <c r="A117" s="42" t="s">
        <v>192</v>
      </c>
      <c r="B117" s="43">
        <v>6</v>
      </c>
      <c r="C117" s="42" t="s">
        <v>64</v>
      </c>
      <c r="D117" t="s">
        <v>50</v>
      </c>
      <c r="E117" s="6"/>
      <c r="F117" s="7"/>
      <c r="G117" s="8">
        <v>3</v>
      </c>
      <c r="H117" s="9"/>
      <c r="J117" s="10">
        <v>2</v>
      </c>
      <c r="K117" s="11"/>
      <c r="L117" s="12"/>
      <c r="M117" s="13"/>
      <c r="O117" s="6"/>
      <c r="P117" s="7"/>
      <c r="Q117" s="8"/>
      <c r="R117" s="9"/>
      <c r="T117" s="10"/>
      <c r="U117" s="11"/>
      <c r="V117" s="12"/>
      <c r="W117" s="13"/>
      <c r="Y117" s="6"/>
      <c r="Z117" s="7"/>
      <c r="AA117" s="8"/>
      <c r="AB117" s="9"/>
      <c r="AD117" s="10"/>
      <c r="AE117" s="11"/>
      <c r="AF117" s="12"/>
      <c r="AG117" s="13"/>
      <c r="AI117" s="6"/>
      <c r="AJ117" s="7"/>
      <c r="AK117" s="8"/>
      <c r="AL117" s="9"/>
      <c r="AN117" s="10"/>
      <c r="AO117" s="11"/>
      <c r="AP117" s="12"/>
      <c r="AQ117" s="13"/>
      <c r="AS117" s="6"/>
      <c r="AT117" s="7"/>
      <c r="AU117" s="8"/>
      <c r="AV117" s="9"/>
      <c r="AX117" s="10"/>
      <c r="AY117" s="11"/>
      <c r="AZ117" s="12"/>
      <c r="BA117" s="13"/>
      <c r="BC117" s="6"/>
      <c r="BD117" s="7"/>
      <c r="BE117" s="8"/>
      <c r="BF117" s="9"/>
      <c r="BG117" s="4"/>
      <c r="BH117" s="46">
        <f t="shared" si="10"/>
        <v>5</v>
      </c>
      <c r="BI117" s="47">
        <f t="shared" si="11"/>
        <v>1.5</v>
      </c>
    </row>
    <row r="118" spans="1:61" x14ac:dyDescent="0.25">
      <c r="A118" s="42" t="s">
        <v>191</v>
      </c>
      <c r="B118" s="43">
        <v>7</v>
      </c>
      <c r="C118" s="42" t="s">
        <v>64</v>
      </c>
      <c r="D118" t="s">
        <v>50</v>
      </c>
      <c r="E118" s="6"/>
      <c r="F118" s="7"/>
      <c r="G118" s="8"/>
      <c r="H118" s="9"/>
      <c r="J118" s="10"/>
      <c r="K118" s="11"/>
      <c r="L118" s="12"/>
      <c r="M118" s="13"/>
      <c r="O118" s="6"/>
      <c r="P118" s="7"/>
      <c r="Q118" s="8"/>
      <c r="R118" s="9"/>
      <c r="T118" s="10"/>
      <c r="U118" s="11"/>
      <c r="V118" s="12"/>
      <c r="W118" s="13"/>
      <c r="Y118" s="6"/>
      <c r="Z118" s="7"/>
      <c r="AA118" s="8"/>
      <c r="AB118" s="9"/>
      <c r="AD118" s="10"/>
      <c r="AE118" s="11"/>
      <c r="AF118" s="12"/>
      <c r="AG118" s="13"/>
      <c r="AI118" s="6"/>
      <c r="AJ118" s="7"/>
      <c r="AK118" s="8"/>
      <c r="AL118" s="9"/>
      <c r="AN118" s="10"/>
      <c r="AO118" s="11"/>
      <c r="AP118" s="12"/>
      <c r="AQ118" s="13"/>
      <c r="AS118" s="6"/>
      <c r="AT118" s="7"/>
      <c r="AU118" s="8"/>
      <c r="AV118" s="9"/>
      <c r="AX118" s="10"/>
      <c r="AY118" s="11"/>
      <c r="AZ118" s="12"/>
      <c r="BA118" s="13"/>
      <c r="BC118" s="6"/>
      <c r="BD118" s="7"/>
      <c r="BE118" s="8"/>
      <c r="BF118" s="9"/>
      <c r="BG118" s="4"/>
      <c r="BH118" s="46">
        <f t="shared" si="10"/>
        <v>0</v>
      </c>
      <c r="BI118" s="47">
        <f t="shared" si="11"/>
        <v>0</v>
      </c>
    </row>
    <row r="119" spans="1:61" x14ac:dyDescent="0.25">
      <c r="A119" s="42" t="s">
        <v>367</v>
      </c>
      <c r="B119" s="43">
        <v>7</v>
      </c>
      <c r="C119" s="42" t="s">
        <v>64</v>
      </c>
      <c r="D119" t="s">
        <v>50</v>
      </c>
      <c r="E119" s="6"/>
      <c r="F119" s="7"/>
      <c r="G119" s="8">
        <v>6</v>
      </c>
      <c r="H119" s="9"/>
      <c r="J119" s="10">
        <v>3</v>
      </c>
      <c r="K119" s="11"/>
      <c r="L119" s="12"/>
      <c r="M119" s="13"/>
      <c r="O119" s="6"/>
      <c r="P119" s="7">
        <v>2</v>
      </c>
      <c r="Q119" s="8">
        <v>4</v>
      </c>
      <c r="R119" s="9"/>
      <c r="T119" s="10"/>
      <c r="U119" s="11">
        <v>7</v>
      </c>
      <c r="V119" s="12"/>
      <c r="W119" s="13">
        <v>2</v>
      </c>
      <c r="Y119" s="6"/>
      <c r="Z119" s="7"/>
      <c r="AA119" s="8"/>
      <c r="AB119" s="9"/>
      <c r="AD119" s="10"/>
      <c r="AE119" s="11"/>
      <c r="AF119" s="12"/>
      <c r="AG119" s="13">
        <v>2</v>
      </c>
      <c r="AI119" s="6"/>
      <c r="AJ119" s="7">
        <v>7</v>
      </c>
      <c r="AK119" s="8"/>
      <c r="AL119" s="9">
        <v>2</v>
      </c>
      <c r="AN119" s="10"/>
      <c r="AO119" s="11"/>
      <c r="AP119" s="12">
        <v>5</v>
      </c>
      <c r="AQ119" s="13"/>
      <c r="AS119" s="6"/>
      <c r="AT119" s="7"/>
      <c r="AU119" s="8"/>
      <c r="AV119" s="9"/>
      <c r="AX119" s="10"/>
      <c r="AY119" s="11"/>
      <c r="AZ119" s="12"/>
      <c r="BA119" s="13"/>
      <c r="BC119" s="6"/>
      <c r="BD119" s="7"/>
      <c r="BE119" s="8"/>
      <c r="BF119" s="9"/>
      <c r="BG119" s="4"/>
      <c r="BH119" s="46">
        <f t="shared" si="10"/>
        <v>40</v>
      </c>
      <c r="BI119" s="47">
        <f t="shared" si="11"/>
        <v>12</v>
      </c>
    </row>
    <row r="120" spans="1:61" x14ac:dyDescent="0.25">
      <c r="A120" s="42" t="s">
        <v>368</v>
      </c>
      <c r="B120" s="43">
        <v>7</v>
      </c>
      <c r="C120" s="42" t="s">
        <v>64</v>
      </c>
      <c r="D120" t="s">
        <v>50</v>
      </c>
      <c r="E120" s="6"/>
      <c r="F120" s="7"/>
      <c r="G120" s="8"/>
      <c r="H120" s="9"/>
      <c r="J120" s="10"/>
      <c r="K120" s="11"/>
      <c r="L120" s="12"/>
      <c r="M120" s="13"/>
      <c r="O120" s="6"/>
      <c r="P120" s="7"/>
      <c r="Q120" s="8"/>
      <c r="R120" s="9"/>
      <c r="T120" s="10"/>
      <c r="U120" s="11"/>
      <c r="V120" s="12"/>
      <c r="W120" s="13"/>
      <c r="Y120" s="6"/>
      <c r="Z120" s="7"/>
      <c r="AA120" s="8"/>
      <c r="AB120" s="9"/>
      <c r="AD120" s="10"/>
      <c r="AE120" s="11"/>
      <c r="AF120" s="12"/>
      <c r="AG120" s="13"/>
      <c r="AI120" s="6"/>
      <c r="AJ120" s="7"/>
      <c r="AK120" s="8"/>
      <c r="AL120" s="9"/>
      <c r="AN120" s="10"/>
      <c r="AO120" s="11"/>
      <c r="AP120" s="12"/>
      <c r="AQ120" s="13"/>
      <c r="AS120" s="6"/>
      <c r="AT120" s="7"/>
      <c r="AU120" s="8"/>
      <c r="AV120" s="9"/>
      <c r="AX120" s="10"/>
      <c r="AY120" s="11"/>
      <c r="AZ120" s="12"/>
      <c r="BA120" s="13"/>
      <c r="BC120" s="6"/>
      <c r="BD120" s="7"/>
      <c r="BE120" s="8"/>
      <c r="BF120" s="9"/>
      <c r="BG120" s="4"/>
      <c r="BH120" s="46">
        <f t="shared" si="10"/>
        <v>0</v>
      </c>
      <c r="BI120" s="47">
        <f t="shared" si="11"/>
        <v>0</v>
      </c>
    </row>
    <row r="121" spans="1:61" x14ac:dyDescent="0.25">
      <c r="A121" s="42" t="s">
        <v>378</v>
      </c>
      <c r="B121" s="43">
        <v>7</v>
      </c>
      <c r="C121" s="42" t="s">
        <v>64</v>
      </c>
      <c r="D121" t="s">
        <v>50</v>
      </c>
      <c r="E121" s="6"/>
      <c r="F121" s="7"/>
      <c r="G121" s="8"/>
      <c r="H121" s="9"/>
      <c r="J121" s="10"/>
      <c r="K121" s="11"/>
      <c r="L121" s="12"/>
      <c r="M121" s="13"/>
      <c r="O121" s="6"/>
      <c r="P121" s="7"/>
      <c r="Q121" s="8">
        <v>1</v>
      </c>
      <c r="R121" s="9"/>
      <c r="T121" s="10"/>
      <c r="U121" s="11">
        <v>1</v>
      </c>
      <c r="V121" s="12"/>
      <c r="W121" s="13">
        <v>1</v>
      </c>
      <c r="Y121" s="6"/>
      <c r="Z121" s="7"/>
      <c r="AA121" s="8"/>
      <c r="AB121" s="9"/>
      <c r="AD121" s="10"/>
      <c r="AE121" s="11"/>
      <c r="AF121" s="12"/>
      <c r="AG121" s="13"/>
      <c r="AI121" s="6"/>
      <c r="AJ121" s="7">
        <v>1</v>
      </c>
      <c r="AK121" s="8"/>
      <c r="AL121" s="9">
        <v>1</v>
      </c>
      <c r="AN121" s="10">
        <v>1</v>
      </c>
      <c r="AO121" s="11"/>
      <c r="AP121" s="12"/>
      <c r="AQ121" s="13"/>
      <c r="AS121" s="6"/>
      <c r="AT121" s="7"/>
      <c r="AU121" s="8"/>
      <c r="AV121" s="9"/>
      <c r="AX121" s="10"/>
      <c r="AY121" s="11"/>
      <c r="AZ121" s="12"/>
      <c r="BA121" s="13"/>
      <c r="BC121" s="6"/>
      <c r="BD121" s="7"/>
      <c r="BE121" s="8"/>
      <c r="BF121" s="9"/>
      <c r="BG121" s="4"/>
      <c r="BH121" s="46">
        <f t="shared" si="10"/>
        <v>6</v>
      </c>
      <c r="BI121" s="47">
        <f t="shared" si="11"/>
        <v>1.7999999999999998</v>
      </c>
    </row>
    <row r="122" spans="1:61" x14ac:dyDescent="0.25">
      <c r="A122" s="42" t="s">
        <v>188</v>
      </c>
      <c r="B122" s="43">
        <v>6</v>
      </c>
      <c r="C122" s="42" t="s">
        <v>64</v>
      </c>
      <c r="D122" t="s">
        <v>51</v>
      </c>
      <c r="E122" s="6"/>
      <c r="F122" s="7"/>
      <c r="G122" s="8"/>
      <c r="H122" s="9"/>
      <c r="J122" s="10"/>
      <c r="K122" s="11"/>
      <c r="L122" s="12"/>
      <c r="M122" s="13"/>
      <c r="O122" s="6"/>
      <c r="P122" s="7"/>
      <c r="Q122" s="8"/>
      <c r="R122" s="9"/>
      <c r="T122" s="10"/>
      <c r="U122" s="11"/>
      <c r="V122" s="12"/>
      <c r="W122" s="13"/>
      <c r="Y122" s="6"/>
      <c r="Z122" s="7"/>
      <c r="AA122" s="8"/>
      <c r="AB122" s="9"/>
      <c r="AD122" s="10"/>
      <c r="AE122" s="11"/>
      <c r="AF122" s="12"/>
      <c r="AG122" s="13"/>
      <c r="AI122" s="6"/>
      <c r="AJ122" s="7"/>
      <c r="AK122" s="8"/>
      <c r="AL122" s="9"/>
      <c r="AN122" s="10"/>
      <c r="AO122" s="11"/>
      <c r="AP122" s="12"/>
      <c r="AQ122" s="13"/>
      <c r="AS122" s="6"/>
      <c r="AT122" s="7"/>
      <c r="AU122" s="8"/>
      <c r="AV122" s="9"/>
      <c r="AX122" s="10"/>
      <c r="AY122" s="11"/>
      <c r="AZ122" s="12"/>
      <c r="BA122" s="13"/>
      <c r="BC122" s="6"/>
      <c r="BD122" s="7"/>
      <c r="BE122" s="8"/>
      <c r="BF122" s="9"/>
      <c r="BG122" s="4"/>
      <c r="BH122" s="46">
        <f t="shared" si="10"/>
        <v>0</v>
      </c>
      <c r="BI122" s="47">
        <f t="shared" si="11"/>
        <v>0</v>
      </c>
    </row>
    <row r="123" spans="1:61" x14ac:dyDescent="0.25">
      <c r="A123" s="42" t="s">
        <v>369</v>
      </c>
      <c r="B123" s="43">
        <v>6</v>
      </c>
      <c r="C123" s="42" t="s">
        <v>64</v>
      </c>
      <c r="D123" t="s">
        <v>51</v>
      </c>
      <c r="E123" s="6"/>
      <c r="F123" s="7"/>
      <c r="G123" s="8"/>
      <c r="H123" s="9"/>
      <c r="J123" s="10"/>
      <c r="K123" s="11"/>
      <c r="L123" s="12"/>
      <c r="M123" s="13"/>
      <c r="O123" s="6"/>
      <c r="P123" s="7"/>
      <c r="Q123" s="8"/>
      <c r="R123" s="9"/>
      <c r="T123" s="10"/>
      <c r="U123" s="11"/>
      <c r="V123" s="12"/>
      <c r="W123" s="13"/>
      <c r="Y123" s="6"/>
      <c r="Z123" s="7"/>
      <c r="AA123" s="8"/>
      <c r="AB123" s="9"/>
      <c r="AD123" s="10"/>
      <c r="AE123" s="11"/>
      <c r="AF123" s="12"/>
      <c r="AG123" s="13"/>
      <c r="AI123" s="6"/>
      <c r="AJ123" s="7"/>
      <c r="AK123" s="8"/>
      <c r="AL123" s="9"/>
      <c r="AN123" s="10"/>
      <c r="AO123" s="11"/>
      <c r="AP123" s="12"/>
      <c r="AQ123" s="13"/>
      <c r="AS123" s="6"/>
      <c r="AT123" s="7"/>
      <c r="AU123" s="8"/>
      <c r="AV123" s="9"/>
      <c r="AX123" s="10"/>
      <c r="AY123" s="11"/>
      <c r="AZ123" s="12"/>
      <c r="BA123" s="13"/>
      <c r="BC123" s="6"/>
      <c r="BD123" s="7"/>
      <c r="BE123" s="8"/>
      <c r="BF123" s="9"/>
      <c r="BG123" s="4"/>
      <c r="BH123" s="46">
        <f t="shared" si="10"/>
        <v>0</v>
      </c>
      <c r="BI123" s="47">
        <f t="shared" si="11"/>
        <v>0</v>
      </c>
    </row>
    <row r="124" spans="1:61" x14ac:dyDescent="0.25">
      <c r="A124" s="42" t="s">
        <v>370</v>
      </c>
      <c r="B124" s="43">
        <v>6</v>
      </c>
      <c r="C124" s="42" t="s">
        <v>64</v>
      </c>
      <c r="D124" t="s">
        <v>51</v>
      </c>
      <c r="E124" s="6"/>
      <c r="F124" s="7"/>
      <c r="G124" s="8"/>
      <c r="H124" s="9"/>
      <c r="J124" s="10"/>
      <c r="K124" s="11"/>
      <c r="L124" s="12"/>
      <c r="M124" s="13"/>
      <c r="O124" s="6"/>
      <c r="P124" s="7"/>
      <c r="Q124" s="8"/>
      <c r="R124" s="9"/>
      <c r="T124" s="10"/>
      <c r="U124" s="11"/>
      <c r="V124" s="12"/>
      <c r="W124" s="13"/>
      <c r="Y124" s="6"/>
      <c r="Z124" s="7"/>
      <c r="AA124" s="8"/>
      <c r="AB124" s="9"/>
      <c r="AD124" s="10"/>
      <c r="AE124" s="11"/>
      <c r="AF124" s="12"/>
      <c r="AG124" s="13"/>
      <c r="AI124" s="6"/>
      <c r="AJ124" s="7"/>
      <c r="AK124" s="8"/>
      <c r="AL124" s="9"/>
      <c r="AN124" s="10"/>
      <c r="AO124" s="11"/>
      <c r="AP124" s="12"/>
      <c r="AQ124" s="13"/>
      <c r="AS124" s="6"/>
      <c r="AT124" s="7"/>
      <c r="AU124" s="8"/>
      <c r="AV124" s="9"/>
      <c r="AX124" s="10"/>
      <c r="AY124" s="11"/>
      <c r="AZ124" s="12"/>
      <c r="BA124" s="13"/>
      <c r="BC124" s="6"/>
      <c r="BD124" s="7"/>
      <c r="BE124" s="8"/>
      <c r="BF124" s="9"/>
      <c r="BG124" s="4"/>
      <c r="BH124" s="46">
        <f t="shared" si="10"/>
        <v>0</v>
      </c>
      <c r="BI124" s="47">
        <f t="shared" si="11"/>
        <v>0</v>
      </c>
    </row>
    <row r="125" spans="1:61" x14ac:dyDescent="0.25">
      <c r="A125" s="42" t="s">
        <v>187</v>
      </c>
      <c r="B125" s="43">
        <v>6</v>
      </c>
      <c r="C125" s="42" t="s">
        <v>64</v>
      </c>
      <c r="D125" t="s">
        <v>51</v>
      </c>
      <c r="E125" s="6"/>
      <c r="F125" s="7"/>
      <c r="G125" s="8"/>
      <c r="H125" s="9"/>
      <c r="J125" s="10"/>
      <c r="K125" s="11"/>
      <c r="L125" s="12"/>
      <c r="M125" s="13"/>
      <c r="O125" s="6"/>
      <c r="P125" s="7"/>
      <c r="Q125" s="8"/>
      <c r="R125" s="9"/>
      <c r="T125" s="10"/>
      <c r="U125" s="11"/>
      <c r="V125" s="12"/>
      <c r="W125" s="13"/>
      <c r="Y125" s="6"/>
      <c r="Z125" s="7"/>
      <c r="AA125" s="8"/>
      <c r="AB125" s="9"/>
      <c r="AD125" s="10"/>
      <c r="AE125" s="11"/>
      <c r="AF125" s="12"/>
      <c r="AG125" s="13"/>
      <c r="AI125" s="6"/>
      <c r="AJ125" s="7"/>
      <c r="AK125" s="8"/>
      <c r="AL125" s="9"/>
      <c r="AN125" s="10"/>
      <c r="AO125" s="11"/>
      <c r="AP125" s="12"/>
      <c r="AQ125" s="13"/>
      <c r="AS125" s="6"/>
      <c r="AT125" s="7"/>
      <c r="AU125" s="8"/>
      <c r="AV125" s="9"/>
      <c r="AX125" s="10"/>
      <c r="AY125" s="11"/>
      <c r="AZ125" s="12"/>
      <c r="BA125" s="13"/>
      <c r="BC125" s="6"/>
      <c r="BD125" s="7"/>
      <c r="BE125" s="8"/>
      <c r="BF125" s="9"/>
      <c r="BG125" s="4"/>
      <c r="BH125" s="46">
        <f t="shared" si="10"/>
        <v>0</v>
      </c>
      <c r="BI125" s="47">
        <f t="shared" si="11"/>
        <v>0</v>
      </c>
    </row>
    <row r="126" spans="1:61" x14ac:dyDescent="0.25">
      <c r="A126" s="42" t="s">
        <v>186</v>
      </c>
      <c r="B126" s="43">
        <v>6</v>
      </c>
      <c r="C126" s="42" t="s">
        <v>64</v>
      </c>
      <c r="D126" t="s">
        <v>51</v>
      </c>
      <c r="E126" s="6"/>
      <c r="F126" s="7"/>
      <c r="G126" s="8"/>
      <c r="H126" s="9"/>
      <c r="J126" s="10"/>
      <c r="K126" s="11"/>
      <c r="L126" s="12"/>
      <c r="M126" s="13"/>
      <c r="O126" s="6"/>
      <c r="P126" s="7"/>
      <c r="Q126" s="8"/>
      <c r="R126" s="9"/>
      <c r="T126" s="10"/>
      <c r="U126" s="11"/>
      <c r="V126" s="12"/>
      <c r="W126" s="13"/>
      <c r="Y126" s="6"/>
      <c r="Z126" s="7"/>
      <c r="AA126" s="8"/>
      <c r="AB126" s="9"/>
      <c r="AD126" s="10"/>
      <c r="AE126" s="11"/>
      <c r="AF126" s="12"/>
      <c r="AG126" s="13"/>
      <c r="AI126" s="6"/>
      <c r="AJ126" s="7"/>
      <c r="AK126" s="8"/>
      <c r="AL126" s="9"/>
      <c r="AN126" s="10"/>
      <c r="AO126" s="11"/>
      <c r="AP126" s="12"/>
      <c r="AQ126" s="13"/>
      <c r="AS126" s="6"/>
      <c r="AT126" s="7"/>
      <c r="AU126" s="8"/>
      <c r="AV126" s="9"/>
      <c r="AX126" s="10"/>
      <c r="AY126" s="11"/>
      <c r="AZ126" s="12"/>
      <c r="BA126" s="13"/>
      <c r="BC126" s="6"/>
      <c r="BD126" s="7"/>
      <c r="BE126" s="8"/>
      <c r="BF126" s="9"/>
      <c r="BG126" s="4"/>
      <c r="BH126" s="46">
        <f t="shared" si="10"/>
        <v>0</v>
      </c>
      <c r="BI126" s="47">
        <f t="shared" si="11"/>
        <v>0</v>
      </c>
    </row>
    <row r="127" spans="1:61" x14ac:dyDescent="0.25">
      <c r="A127" s="42" t="s">
        <v>185</v>
      </c>
      <c r="B127" s="43">
        <v>8</v>
      </c>
      <c r="C127" s="42" t="s">
        <v>64</v>
      </c>
      <c r="D127" t="s">
        <v>61</v>
      </c>
      <c r="E127" s="6"/>
      <c r="F127" s="7"/>
      <c r="G127" s="8"/>
      <c r="H127" s="9"/>
      <c r="J127" s="10"/>
      <c r="K127" s="11"/>
      <c r="L127" s="12"/>
      <c r="M127" s="13"/>
      <c r="O127" s="6"/>
      <c r="P127" s="7"/>
      <c r="Q127" s="8"/>
      <c r="R127" s="9"/>
      <c r="T127" s="10"/>
      <c r="U127" s="11"/>
      <c r="V127" s="12"/>
      <c r="W127" s="13"/>
      <c r="Y127" s="6"/>
      <c r="Z127" s="7"/>
      <c r="AA127" s="8"/>
      <c r="AB127" s="9"/>
      <c r="AD127" s="10"/>
      <c r="AE127" s="11"/>
      <c r="AF127" s="12"/>
      <c r="AG127" s="13"/>
      <c r="AI127" s="6"/>
      <c r="AJ127" s="7"/>
      <c r="AK127" s="8"/>
      <c r="AL127" s="9"/>
      <c r="AN127" s="10"/>
      <c r="AO127" s="11"/>
      <c r="AP127" s="12"/>
      <c r="AQ127" s="13"/>
      <c r="AS127" s="6"/>
      <c r="AT127" s="7"/>
      <c r="AU127" s="8"/>
      <c r="AV127" s="9"/>
      <c r="AX127" s="10"/>
      <c r="AY127" s="11"/>
      <c r="AZ127" s="12"/>
      <c r="BA127" s="13"/>
      <c r="BC127" s="6"/>
      <c r="BD127" s="7"/>
      <c r="BE127" s="8"/>
      <c r="BF127" s="9"/>
      <c r="BG127" s="4"/>
      <c r="BH127" s="46">
        <f t="shared" si="10"/>
        <v>0</v>
      </c>
      <c r="BI127" s="47">
        <f t="shared" si="11"/>
        <v>0</v>
      </c>
    </row>
    <row r="128" spans="1:61" x14ac:dyDescent="0.25">
      <c r="A128" s="42" t="s">
        <v>371</v>
      </c>
      <c r="B128" s="43">
        <v>8</v>
      </c>
      <c r="C128" s="42" t="s">
        <v>64</v>
      </c>
      <c r="D128" t="s">
        <v>61</v>
      </c>
      <c r="E128" s="6"/>
      <c r="F128" s="7"/>
      <c r="G128" s="8"/>
      <c r="H128" s="9"/>
      <c r="J128" s="10"/>
      <c r="K128" s="11"/>
      <c r="L128" s="12"/>
      <c r="M128" s="13"/>
      <c r="O128" s="6"/>
      <c r="P128" s="7"/>
      <c r="Q128" s="8"/>
      <c r="R128" s="9"/>
      <c r="T128" s="10"/>
      <c r="U128" s="11"/>
      <c r="V128" s="12"/>
      <c r="W128" s="13"/>
      <c r="Y128" s="6"/>
      <c r="Z128" s="7"/>
      <c r="AA128" s="8"/>
      <c r="AB128" s="9"/>
      <c r="AD128" s="10"/>
      <c r="AE128" s="11"/>
      <c r="AF128" s="12"/>
      <c r="AG128" s="13"/>
      <c r="AI128" s="6"/>
      <c r="AJ128" s="7"/>
      <c r="AK128" s="8"/>
      <c r="AL128" s="9"/>
      <c r="AN128" s="10"/>
      <c r="AO128" s="11"/>
      <c r="AP128" s="12"/>
      <c r="AQ128" s="13"/>
      <c r="AS128" s="6"/>
      <c r="AT128" s="7"/>
      <c r="AU128" s="8"/>
      <c r="AV128" s="9"/>
      <c r="AX128" s="10"/>
      <c r="AY128" s="11"/>
      <c r="AZ128" s="12"/>
      <c r="BA128" s="13"/>
      <c r="BC128" s="6"/>
      <c r="BD128" s="7"/>
      <c r="BE128" s="8"/>
      <c r="BF128" s="9"/>
      <c r="BG128" s="4"/>
      <c r="BH128" s="46">
        <f t="shared" si="10"/>
        <v>0</v>
      </c>
      <c r="BI128" s="47">
        <f t="shared" si="11"/>
        <v>0</v>
      </c>
    </row>
    <row r="129" spans="1:61" x14ac:dyDescent="0.25">
      <c r="A129" s="42" t="s">
        <v>372</v>
      </c>
      <c r="B129" s="43">
        <v>8</v>
      </c>
      <c r="C129" s="42" t="s">
        <v>64</v>
      </c>
      <c r="D129" t="s">
        <v>61</v>
      </c>
      <c r="E129" s="6"/>
      <c r="F129" s="7"/>
      <c r="G129" s="8"/>
      <c r="H129" s="9"/>
      <c r="J129" s="10"/>
      <c r="K129" s="11"/>
      <c r="L129" s="12"/>
      <c r="M129" s="13"/>
      <c r="O129" s="6"/>
      <c r="P129" s="7"/>
      <c r="Q129" s="8"/>
      <c r="R129" s="9"/>
      <c r="T129" s="10"/>
      <c r="U129" s="11"/>
      <c r="V129" s="12"/>
      <c r="W129" s="13"/>
      <c r="Y129" s="6"/>
      <c r="Z129" s="7"/>
      <c r="AA129" s="8"/>
      <c r="AB129" s="9"/>
      <c r="AD129" s="10"/>
      <c r="AE129" s="11"/>
      <c r="AF129" s="12"/>
      <c r="AG129" s="13"/>
      <c r="AI129" s="6"/>
      <c r="AJ129" s="7"/>
      <c r="AK129" s="8"/>
      <c r="AL129" s="9"/>
      <c r="AN129" s="10"/>
      <c r="AO129" s="11"/>
      <c r="AP129" s="12"/>
      <c r="AQ129" s="13"/>
      <c r="AS129" s="6"/>
      <c r="AT129" s="7"/>
      <c r="AU129" s="8"/>
      <c r="AV129" s="9"/>
      <c r="AX129" s="10"/>
      <c r="AY129" s="11"/>
      <c r="AZ129" s="12"/>
      <c r="BA129" s="13"/>
      <c r="BC129" s="6"/>
      <c r="BD129" s="7"/>
      <c r="BE129" s="8"/>
      <c r="BF129" s="9"/>
      <c r="BG129" s="4"/>
      <c r="BH129" s="46">
        <f t="shared" si="10"/>
        <v>0</v>
      </c>
      <c r="BI129" s="47">
        <f t="shared" si="11"/>
        <v>0</v>
      </c>
    </row>
    <row r="130" spans="1:61" x14ac:dyDescent="0.25">
      <c r="A130" s="42" t="s">
        <v>373</v>
      </c>
      <c r="B130" s="43">
        <v>8</v>
      </c>
      <c r="C130" s="42" t="s">
        <v>64</v>
      </c>
      <c r="D130" t="s">
        <v>61</v>
      </c>
      <c r="E130" s="6"/>
      <c r="F130" s="7"/>
      <c r="G130" s="8"/>
      <c r="H130" s="9"/>
      <c r="J130" s="10"/>
      <c r="K130" s="11"/>
      <c r="L130" s="12"/>
      <c r="M130" s="13"/>
      <c r="O130" s="6"/>
      <c r="P130" s="7"/>
      <c r="Q130" s="8"/>
      <c r="R130" s="9"/>
      <c r="T130" s="10"/>
      <c r="U130" s="11"/>
      <c r="V130" s="12"/>
      <c r="W130" s="13"/>
      <c r="Y130" s="6"/>
      <c r="Z130" s="7"/>
      <c r="AA130" s="8"/>
      <c r="AB130" s="9"/>
      <c r="AD130" s="10"/>
      <c r="AE130" s="11"/>
      <c r="AF130" s="12"/>
      <c r="AG130" s="13"/>
      <c r="AI130" s="6"/>
      <c r="AJ130" s="7"/>
      <c r="AK130" s="8"/>
      <c r="AL130" s="9"/>
      <c r="AN130" s="10"/>
      <c r="AO130" s="11"/>
      <c r="AP130" s="12"/>
      <c r="AQ130" s="13"/>
      <c r="AS130" s="6"/>
      <c r="AT130" s="7"/>
      <c r="AU130" s="8"/>
      <c r="AV130" s="9"/>
      <c r="AX130" s="10"/>
      <c r="AY130" s="11"/>
      <c r="AZ130" s="12"/>
      <c r="BA130" s="13"/>
      <c r="BC130" s="6"/>
      <c r="BD130" s="7"/>
      <c r="BE130" s="8"/>
      <c r="BF130" s="9"/>
      <c r="BG130" s="4"/>
      <c r="BH130" s="46">
        <f t="shared" si="10"/>
        <v>0</v>
      </c>
      <c r="BI130" s="47">
        <f t="shared" si="11"/>
        <v>0</v>
      </c>
    </row>
    <row r="131" spans="1:61" x14ac:dyDescent="0.25">
      <c r="A131" s="42" t="s">
        <v>182</v>
      </c>
      <c r="B131" s="43">
        <v>8</v>
      </c>
      <c r="C131" s="42" t="s">
        <v>64</v>
      </c>
      <c r="D131" t="s">
        <v>61</v>
      </c>
      <c r="E131" s="6">
        <v>2</v>
      </c>
      <c r="F131" s="7">
        <v>2</v>
      </c>
      <c r="G131" s="8"/>
      <c r="H131" s="9"/>
      <c r="J131" s="10"/>
      <c r="K131" s="11"/>
      <c r="L131" s="12"/>
      <c r="M131" s="13"/>
      <c r="O131" s="6"/>
      <c r="P131" s="7"/>
      <c r="Q131" s="8"/>
      <c r="R131" s="9"/>
      <c r="T131" s="10"/>
      <c r="U131" s="11"/>
      <c r="V131" s="12">
        <v>1</v>
      </c>
      <c r="W131" s="13"/>
      <c r="Y131" s="6"/>
      <c r="Z131" s="7"/>
      <c r="AA131" s="8"/>
      <c r="AB131" s="9"/>
      <c r="AD131" s="10"/>
      <c r="AE131" s="11"/>
      <c r="AF131" s="12"/>
      <c r="AG131" s="13"/>
      <c r="AI131" s="6"/>
      <c r="AJ131" s="7"/>
      <c r="AK131" s="8">
        <v>1</v>
      </c>
      <c r="AL131" s="9"/>
      <c r="AN131" s="10"/>
      <c r="AO131" s="11"/>
      <c r="AP131" s="12"/>
      <c r="AQ131" s="13"/>
      <c r="AS131" s="6"/>
      <c r="AT131" s="7"/>
      <c r="AU131" s="8"/>
      <c r="AV131" s="9"/>
      <c r="AX131" s="10"/>
      <c r="AY131" s="11"/>
      <c r="AZ131" s="12"/>
      <c r="BA131" s="13"/>
      <c r="BC131" s="6"/>
      <c r="BD131" s="7"/>
      <c r="BE131" s="8"/>
      <c r="BF131" s="9"/>
      <c r="BG131" s="4"/>
      <c r="BH131" s="46">
        <f t="shared" si="10"/>
        <v>6</v>
      </c>
      <c r="BI131" s="47">
        <f t="shared" si="11"/>
        <v>1.7999999999999998</v>
      </c>
    </row>
    <row r="132" spans="1:61" x14ac:dyDescent="0.25">
      <c r="A132" s="42" t="s">
        <v>181</v>
      </c>
      <c r="B132" s="43">
        <v>9</v>
      </c>
      <c r="C132" s="42" t="s">
        <v>64</v>
      </c>
      <c r="D132" t="s">
        <v>61</v>
      </c>
      <c r="E132" s="6">
        <v>2</v>
      </c>
      <c r="F132" s="7">
        <v>2</v>
      </c>
      <c r="G132" s="8"/>
      <c r="H132" s="9"/>
      <c r="J132" s="10"/>
      <c r="K132" s="11"/>
      <c r="L132" s="12"/>
      <c r="M132" s="13"/>
      <c r="O132" s="6"/>
      <c r="P132" s="7"/>
      <c r="Q132" s="8"/>
      <c r="R132" s="9"/>
      <c r="T132" s="10"/>
      <c r="U132" s="11"/>
      <c r="V132" s="12"/>
      <c r="W132" s="13"/>
      <c r="Y132" s="6"/>
      <c r="Z132" s="7"/>
      <c r="AA132" s="8"/>
      <c r="AB132" s="9"/>
      <c r="AD132" s="10"/>
      <c r="AE132" s="11"/>
      <c r="AF132" s="12"/>
      <c r="AG132" s="13"/>
      <c r="AI132" s="6"/>
      <c r="AJ132" s="7"/>
      <c r="AK132" s="8"/>
      <c r="AL132" s="9"/>
      <c r="AN132" s="10"/>
      <c r="AO132" s="11"/>
      <c r="AP132" s="12"/>
      <c r="AQ132" s="13"/>
      <c r="AS132" s="6"/>
      <c r="AT132" s="7"/>
      <c r="AU132" s="8"/>
      <c r="AV132" s="9"/>
      <c r="AX132" s="10"/>
      <c r="AY132" s="11"/>
      <c r="AZ132" s="12"/>
      <c r="BA132" s="13"/>
      <c r="BC132" s="6"/>
      <c r="BD132" s="7"/>
      <c r="BE132" s="8"/>
      <c r="BF132" s="9"/>
      <c r="BG132" s="4"/>
      <c r="BH132" s="46">
        <f t="shared" si="10"/>
        <v>4</v>
      </c>
      <c r="BI132" s="47">
        <f t="shared" si="11"/>
        <v>1.2</v>
      </c>
    </row>
    <row r="133" spans="1:61" x14ac:dyDescent="0.25">
      <c r="A133" s="42" t="s">
        <v>180</v>
      </c>
      <c r="B133" s="43">
        <v>9</v>
      </c>
      <c r="C133" s="42" t="s">
        <v>64</v>
      </c>
      <c r="D133" t="s">
        <v>61</v>
      </c>
      <c r="E133" s="6"/>
      <c r="F133" s="7"/>
      <c r="G133" s="8"/>
      <c r="H133" s="9"/>
      <c r="J133" s="10"/>
      <c r="K133" s="11"/>
      <c r="L133" s="12"/>
      <c r="M133" s="13"/>
      <c r="O133" s="6"/>
      <c r="P133" s="7"/>
      <c r="Q133" s="8"/>
      <c r="R133" s="9"/>
      <c r="T133" s="10"/>
      <c r="U133" s="11"/>
      <c r="V133" s="12"/>
      <c r="W133" s="13"/>
      <c r="Y133" s="6"/>
      <c r="Z133" s="7"/>
      <c r="AA133" s="8"/>
      <c r="AB133" s="9"/>
      <c r="AD133" s="10"/>
      <c r="AE133" s="11"/>
      <c r="AF133" s="12"/>
      <c r="AG133" s="13"/>
      <c r="AI133" s="6"/>
      <c r="AJ133" s="7"/>
      <c r="AK133" s="8"/>
      <c r="AL133" s="9"/>
      <c r="AN133" s="10"/>
      <c r="AO133" s="11"/>
      <c r="AP133" s="12"/>
      <c r="AQ133" s="13"/>
      <c r="AS133" s="6"/>
      <c r="AT133" s="7"/>
      <c r="AU133" s="8"/>
      <c r="AV133" s="9"/>
      <c r="AX133" s="10"/>
      <c r="AY133" s="11"/>
      <c r="AZ133" s="12"/>
      <c r="BA133" s="13"/>
      <c r="BC133" s="6"/>
      <c r="BD133" s="7"/>
      <c r="BE133" s="8"/>
      <c r="BF133" s="9"/>
      <c r="BG133" s="4"/>
      <c r="BH133" s="46">
        <f t="shared" si="10"/>
        <v>0</v>
      </c>
      <c r="BI133" s="47">
        <f t="shared" si="11"/>
        <v>0</v>
      </c>
    </row>
    <row r="134" spans="1:61" x14ac:dyDescent="0.25">
      <c r="A134" s="42" t="s">
        <v>413</v>
      </c>
      <c r="B134" s="43">
        <v>9</v>
      </c>
      <c r="C134" s="42" t="s">
        <v>64</v>
      </c>
      <c r="D134" t="s">
        <v>61</v>
      </c>
      <c r="E134" s="6"/>
      <c r="F134" s="7"/>
      <c r="G134" s="8"/>
      <c r="H134" s="9"/>
      <c r="J134" s="10"/>
      <c r="K134" s="11"/>
      <c r="L134" s="12"/>
      <c r="M134" s="13"/>
      <c r="O134" s="6"/>
      <c r="P134" s="7"/>
      <c r="Q134" s="8"/>
      <c r="R134" s="9"/>
      <c r="T134" s="10"/>
      <c r="U134" s="11"/>
      <c r="V134" s="12"/>
      <c r="W134" s="13"/>
      <c r="Y134" s="6"/>
      <c r="Z134" s="7"/>
      <c r="AA134" s="8"/>
      <c r="AB134" s="9"/>
      <c r="AD134" s="10"/>
      <c r="AE134" s="11"/>
      <c r="AF134" s="12"/>
      <c r="AG134" s="13"/>
      <c r="AI134" s="6"/>
      <c r="AJ134" s="7"/>
      <c r="AK134" s="8"/>
      <c r="AL134" s="9"/>
      <c r="AN134" s="10"/>
      <c r="AO134" s="11"/>
      <c r="AP134" s="12"/>
      <c r="AQ134" s="13"/>
      <c r="AS134" s="6"/>
      <c r="AT134" s="7"/>
      <c r="AU134" s="8"/>
      <c r="AV134" s="9"/>
      <c r="AX134" s="10"/>
      <c r="AY134" s="11"/>
      <c r="AZ134" s="12"/>
      <c r="BA134" s="13"/>
      <c r="BC134" s="6"/>
      <c r="BD134" s="7"/>
      <c r="BE134" s="8"/>
      <c r="BF134" s="9"/>
      <c r="BG134" s="4"/>
      <c r="BH134" s="46">
        <f t="shared" ref="BH134" si="16">SUM(E134:BF134)</f>
        <v>0</v>
      </c>
      <c r="BI134" s="47">
        <f t="shared" ref="BI134" si="17">(SUM(E134:BG134)*$D$2)</f>
        <v>0</v>
      </c>
    </row>
    <row r="135" spans="1:61" x14ac:dyDescent="0.25">
      <c r="A135" s="42" t="s">
        <v>233</v>
      </c>
      <c r="B135" s="43">
        <v>9</v>
      </c>
      <c r="C135" s="42" t="s">
        <v>64</v>
      </c>
      <c r="D135" t="s">
        <v>61</v>
      </c>
      <c r="E135" s="6"/>
      <c r="F135" s="7"/>
      <c r="G135" s="8"/>
      <c r="H135" s="9"/>
      <c r="J135" s="10"/>
      <c r="K135" s="11"/>
      <c r="L135" s="12">
        <v>3</v>
      </c>
      <c r="M135" s="13"/>
      <c r="O135" s="6"/>
      <c r="P135" s="7"/>
      <c r="Q135" s="8"/>
      <c r="R135" s="9"/>
      <c r="T135" s="10"/>
      <c r="U135" s="11"/>
      <c r="V135" s="12"/>
      <c r="W135" s="13"/>
      <c r="Y135" s="6"/>
      <c r="Z135" s="7"/>
      <c r="AA135" s="8"/>
      <c r="AB135" s="9"/>
      <c r="AD135" s="10"/>
      <c r="AE135" s="11"/>
      <c r="AF135" s="12"/>
      <c r="AG135" s="13"/>
      <c r="AI135" s="6"/>
      <c r="AJ135" s="7"/>
      <c r="AK135" s="8"/>
      <c r="AL135" s="9"/>
      <c r="AN135" s="10"/>
      <c r="AO135" s="11"/>
      <c r="AP135" s="12"/>
      <c r="AQ135" s="13"/>
      <c r="AS135" s="6"/>
      <c r="AT135" s="7"/>
      <c r="AU135" s="8"/>
      <c r="AV135" s="9"/>
      <c r="AX135" s="10"/>
      <c r="AY135" s="11"/>
      <c r="AZ135" s="12"/>
      <c r="BA135" s="13"/>
      <c r="BC135" s="6"/>
      <c r="BD135" s="7"/>
      <c r="BE135" s="8"/>
      <c r="BF135" s="9"/>
      <c r="BG135" s="4"/>
      <c r="BH135" s="46">
        <f t="shared" si="10"/>
        <v>3</v>
      </c>
      <c r="BI135" s="47">
        <f t="shared" si="11"/>
        <v>0.89999999999999991</v>
      </c>
    </row>
    <row r="136" spans="1:61" x14ac:dyDescent="0.25">
      <c r="A136" s="42" t="s">
        <v>178</v>
      </c>
      <c r="B136" s="43">
        <v>8</v>
      </c>
      <c r="C136" s="42" t="s">
        <v>64</v>
      </c>
      <c r="D136" t="s">
        <v>57</v>
      </c>
      <c r="E136" s="6"/>
      <c r="F136" s="7"/>
      <c r="G136" s="8"/>
      <c r="H136" s="9"/>
      <c r="J136" s="10"/>
      <c r="K136" s="11"/>
      <c r="L136" s="12"/>
      <c r="M136" s="13"/>
      <c r="O136" s="6"/>
      <c r="P136" s="7"/>
      <c r="Q136" s="8"/>
      <c r="R136" s="9"/>
      <c r="T136" s="10"/>
      <c r="U136" s="11"/>
      <c r="V136" s="12"/>
      <c r="W136" s="13"/>
      <c r="Y136" s="6"/>
      <c r="Z136" s="7"/>
      <c r="AA136" s="8"/>
      <c r="AB136" s="9"/>
      <c r="AD136" s="10"/>
      <c r="AE136" s="11"/>
      <c r="AF136" s="12"/>
      <c r="AG136" s="13"/>
      <c r="AI136" s="6"/>
      <c r="AJ136" s="7"/>
      <c r="AK136" s="8"/>
      <c r="AL136" s="9"/>
      <c r="AN136" s="10"/>
      <c r="AO136" s="11"/>
      <c r="AP136" s="12"/>
      <c r="AQ136" s="13"/>
      <c r="AS136" s="6"/>
      <c r="AT136" s="7"/>
      <c r="AU136" s="8"/>
      <c r="AV136" s="9"/>
      <c r="AX136" s="10"/>
      <c r="AY136" s="11"/>
      <c r="AZ136" s="12"/>
      <c r="BA136" s="13"/>
      <c r="BC136" s="6"/>
      <c r="BD136" s="7"/>
      <c r="BE136" s="8"/>
      <c r="BF136" s="9"/>
      <c r="BG136" s="4"/>
      <c r="BH136" s="46">
        <f t="shared" si="10"/>
        <v>0</v>
      </c>
      <c r="BI136" s="47">
        <f t="shared" si="11"/>
        <v>0</v>
      </c>
    </row>
    <row r="137" spans="1:61" x14ac:dyDescent="0.25">
      <c r="A137" s="42" t="s">
        <v>177</v>
      </c>
      <c r="B137" s="43">
        <v>8</v>
      </c>
      <c r="C137" s="42" t="s">
        <v>64</v>
      </c>
      <c r="D137" t="s">
        <v>48</v>
      </c>
      <c r="E137" s="6">
        <v>1</v>
      </c>
      <c r="F137" s="7"/>
      <c r="G137" s="8"/>
      <c r="H137" s="9"/>
      <c r="J137" s="10"/>
      <c r="K137" s="11"/>
      <c r="L137" s="12"/>
      <c r="M137" s="13"/>
      <c r="O137" s="6"/>
      <c r="P137" s="7"/>
      <c r="Q137" s="8"/>
      <c r="R137" s="9"/>
      <c r="T137" s="10"/>
      <c r="U137" s="11"/>
      <c r="V137" s="12">
        <v>1</v>
      </c>
      <c r="W137" s="13">
        <v>1</v>
      </c>
      <c r="Y137" s="6"/>
      <c r="Z137" s="7"/>
      <c r="AA137" s="8"/>
      <c r="AB137" s="9"/>
      <c r="AD137" s="10"/>
      <c r="AE137" s="11"/>
      <c r="AF137" s="12"/>
      <c r="AG137" s="13"/>
      <c r="AI137" s="6"/>
      <c r="AJ137" s="7"/>
      <c r="AK137" s="8">
        <v>1</v>
      </c>
      <c r="AL137" s="9">
        <v>1</v>
      </c>
      <c r="AN137" s="10"/>
      <c r="AO137" s="11"/>
      <c r="AP137" s="12"/>
      <c r="AQ137" s="13"/>
      <c r="AS137" s="6"/>
      <c r="AT137" s="7"/>
      <c r="AU137" s="8"/>
      <c r="AV137" s="9"/>
      <c r="AX137" s="10"/>
      <c r="AY137" s="11"/>
      <c r="AZ137" s="12"/>
      <c r="BA137" s="13"/>
      <c r="BC137" s="6"/>
      <c r="BD137" s="7"/>
      <c r="BE137" s="8"/>
      <c r="BF137" s="9"/>
      <c r="BG137" s="4"/>
      <c r="BH137" s="46">
        <f t="shared" si="10"/>
        <v>5</v>
      </c>
      <c r="BI137" s="47">
        <f t="shared" si="11"/>
        <v>1.5</v>
      </c>
    </row>
    <row r="138" spans="1:61" x14ac:dyDescent="0.25">
      <c r="A138" s="42" t="s">
        <v>176</v>
      </c>
      <c r="B138" s="43">
        <v>9</v>
      </c>
      <c r="C138" s="42" t="s">
        <v>64</v>
      </c>
      <c r="D138" t="s">
        <v>48</v>
      </c>
      <c r="E138" s="6"/>
      <c r="F138" s="7"/>
      <c r="G138" s="8"/>
      <c r="H138" s="9"/>
      <c r="J138" s="10"/>
      <c r="K138" s="11"/>
      <c r="L138" s="12"/>
      <c r="M138" s="13"/>
      <c r="O138" s="6"/>
      <c r="P138" s="7"/>
      <c r="Q138" s="8"/>
      <c r="R138" s="9"/>
      <c r="T138" s="10"/>
      <c r="U138" s="11"/>
      <c r="V138" s="12"/>
      <c r="W138" s="13"/>
      <c r="Y138" s="6"/>
      <c r="Z138" s="7"/>
      <c r="AA138" s="8"/>
      <c r="AB138" s="9"/>
      <c r="AD138" s="10"/>
      <c r="AE138" s="11"/>
      <c r="AF138" s="12"/>
      <c r="AG138" s="13"/>
      <c r="AI138" s="6"/>
      <c r="AJ138" s="7"/>
      <c r="AK138" s="8"/>
      <c r="AL138" s="9"/>
      <c r="AN138" s="10"/>
      <c r="AO138" s="11"/>
      <c r="AP138" s="12"/>
      <c r="AQ138" s="13"/>
      <c r="AS138" s="6"/>
      <c r="AT138" s="7"/>
      <c r="AU138" s="8"/>
      <c r="AV138" s="9"/>
      <c r="AX138" s="10"/>
      <c r="AY138" s="11"/>
      <c r="AZ138" s="12"/>
      <c r="BA138" s="13"/>
      <c r="BC138" s="6"/>
      <c r="BD138" s="7"/>
      <c r="BE138" s="8"/>
      <c r="BF138" s="9"/>
      <c r="BG138" s="4"/>
      <c r="BH138" s="46">
        <f t="shared" si="10"/>
        <v>0</v>
      </c>
      <c r="BI138" s="47">
        <f t="shared" si="11"/>
        <v>0</v>
      </c>
    </row>
    <row r="139" spans="1:61" x14ac:dyDescent="0.25">
      <c r="A139" s="42" t="s">
        <v>175</v>
      </c>
      <c r="B139" s="43">
        <v>1</v>
      </c>
      <c r="C139" s="42" t="s">
        <v>64</v>
      </c>
      <c r="D139" t="s">
        <v>62</v>
      </c>
      <c r="E139" s="6"/>
      <c r="F139" s="7">
        <v>4</v>
      </c>
      <c r="G139" s="8"/>
      <c r="H139" s="9"/>
      <c r="J139" s="10"/>
      <c r="K139" s="11"/>
      <c r="L139" s="12"/>
      <c r="M139" s="13"/>
      <c r="O139" s="6"/>
      <c r="P139" s="7"/>
      <c r="Q139" s="8"/>
      <c r="R139" s="9"/>
      <c r="T139" s="10"/>
      <c r="U139" s="11"/>
      <c r="V139" s="12"/>
      <c r="W139" s="13"/>
      <c r="Y139" s="6"/>
      <c r="Z139" s="7"/>
      <c r="AA139" s="8"/>
      <c r="AB139" s="9"/>
      <c r="AD139" s="10"/>
      <c r="AE139" s="11"/>
      <c r="AF139" s="12"/>
      <c r="AG139" s="13"/>
      <c r="AI139" s="6"/>
      <c r="AJ139" s="7"/>
      <c r="AK139" s="8"/>
      <c r="AL139" s="9"/>
      <c r="AN139" s="10"/>
      <c r="AO139" s="11"/>
      <c r="AP139" s="12"/>
      <c r="AQ139" s="13"/>
      <c r="AS139" s="6"/>
      <c r="AT139" s="7"/>
      <c r="AU139" s="8"/>
      <c r="AV139" s="9"/>
      <c r="AX139" s="10"/>
      <c r="AY139" s="11"/>
      <c r="AZ139" s="12"/>
      <c r="BA139" s="13"/>
      <c r="BC139" s="6"/>
      <c r="BD139" s="7"/>
      <c r="BE139" s="8"/>
      <c r="BF139" s="9"/>
      <c r="BG139" s="4"/>
      <c r="BH139" s="46">
        <f t="shared" ref="BH139:BH140" si="18">SUM(E139:BF139)</f>
        <v>4</v>
      </c>
      <c r="BI139" s="47">
        <f t="shared" ref="BI139:BI140" si="19">(SUM(E139:BG139)*$D$2)</f>
        <v>1.2</v>
      </c>
    </row>
    <row r="140" spans="1:61" x14ac:dyDescent="0.25">
      <c r="A140" s="42" t="s">
        <v>379</v>
      </c>
      <c r="B140" s="43">
        <v>1</v>
      </c>
      <c r="C140" s="42" t="s">
        <v>64</v>
      </c>
      <c r="D140" t="s">
        <v>62</v>
      </c>
      <c r="E140" s="6"/>
      <c r="F140" s="7">
        <v>3</v>
      </c>
      <c r="G140" s="8"/>
      <c r="H140" s="9"/>
      <c r="J140" s="10"/>
      <c r="K140" s="11"/>
      <c r="L140" s="12"/>
      <c r="M140" s="13"/>
      <c r="O140" s="6"/>
      <c r="P140" s="7"/>
      <c r="Q140" s="8"/>
      <c r="R140" s="9"/>
      <c r="T140" s="10"/>
      <c r="U140" s="11"/>
      <c r="V140" s="12"/>
      <c r="W140" s="13"/>
      <c r="Y140" s="6"/>
      <c r="Z140" s="7"/>
      <c r="AA140" s="8"/>
      <c r="AB140" s="9"/>
      <c r="AD140" s="10"/>
      <c r="AE140" s="11"/>
      <c r="AF140" s="12"/>
      <c r="AG140" s="13"/>
      <c r="AI140" s="6"/>
      <c r="AJ140" s="7"/>
      <c r="AK140" s="8"/>
      <c r="AL140" s="9"/>
      <c r="AN140" s="10"/>
      <c r="AO140" s="11"/>
      <c r="AP140" s="12"/>
      <c r="AQ140" s="13"/>
      <c r="AS140" s="6"/>
      <c r="AT140" s="7"/>
      <c r="AU140" s="8"/>
      <c r="AV140" s="9"/>
      <c r="AX140" s="10"/>
      <c r="AY140" s="11"/>
      <c r="AZ140" s="12"/>
      <c r="BA140" s="13"/>
      <c r="BC140" s="6"/>
      <c r="BD140" s="7"/>
      <c r="BE140" s="8"/>
      <c r="BF140" s="9"/>
      <c r="BG140" s="4"/>
      <c r="BH140" s="46">
        <f t="shared" si="18"/>
        <v>3</v>
      </c>
      <c r="BI140" s="47">
        <f t="shared" si="19"/>
        <v>0.89999999999999991</v>
      </c>
    </row>
    <row r="141" spans="1:61" x14ac:dyDescent="0.25">
      <c r="A141" s="42" t="s">
        <v>380</v>
      </c>
      <c r="B141" s="43">
        <v>1</v>
      </c>
      <c r="C141" s="42" t="s">
        <v>64</v>
      </c>
      <c r="D141" t="s">
        <v>62</v>
      </c>
      <c r="E141" s="6"/>
      <c r="F141" s="7">
        <v>2</v>
      </c>
      <c r="G141" s="8"/>
      <c r="H141" s="9"/>
      <c r="J141" s="10"/>
      <c r="K141" s="11"/>
      <c r="L141" s="12"/>
      <c r="M141" s="13"/>
      <c r="O141" s="6"/>
      <c r="P141" s="7"/>
      <c r="Q141" s="8"/>
      <c r="R141" s="9"/>
      <c r="T141" s="10"/>
      <c r="U141" s="11"/>
      <c r="V141" s="12"/>
      <c r="W141" s="13"/>
      <c r="Y141" s="6"/>
      <c r="Z141" s="7"/>
      <c r="AA141" s="8"/>
      <c r="AB141" s="9"/>
      <c r="AD141" s="10"/>
      <c r="AE141" s="11"/>
      <c r="AF141" s="12"/>
      <c r="AG141" s="13"/>
      <c r="AI141" s="6"/>
      <c r="AJ141" s="7"/>
      <c r="AK141" s="8"/>
      <c r="AL141" s="9"/>
      <c r="AN141" s="10"/>
      <c r="AO141" s="11"/>
      <c r="AP141" s="12"/>
      <c r="AQ141" s="13"/>
      <c r="AS141" s="6"/>
      <c r="AT141" s="7"/>
      <c r="AU141" s="8"/>
      <c r="AV141" s="9"/>
      <c r="AX141" s="10"/>
      <c r="AY141" s="11"/>
      <c r="AZ141" s="12"/>
      <c r="BA141" s="13"/>
      <c r="BC141" s="6"/>
      <c r="BD141" s="7"/>
      <c r="BE141" s="8"/>
      <c r="BF141" s="9"/>
      <c r="BG141" s="4"/>
      <c r="BH141" s="46">
        <f t="shared" si="10"/>
        <v>2</v>
      </c>
      <c r="BI141" s="47">
        <f t="shared" si="11"/>
        <v>0.6</v>
      </c>
    </row>
    <row r="142" spans="1:61" x14ac:dyDescent="0.25">
      <c r="A142" s="42" t="s">
        <v>174</v>
      </c>
      <c r="B142" s="42" t="s">
        <v>53</v>
      </c>
      <c r="C142" s="42" t="s">
        <v>64</v>
      </c>
      <c r="D142" t="s">
        <v>54</v>
      </c>
      <c r="E142" s="6"/>
      <c r="F142" s="7"/>
      <c r="G142" s="8"/>
      <c r="H142" s="9"/>
      <c r="J142" s="10"/>
      <c r="K142" s="11"/>
      <c r="L142" s="12"/>
      <c r="M142" s="13"/>
      <c r="O142" s="6"/>
      <c r="P142" s="7"/>
      <c r="Q142" s="8"/>
      <c r="R142" s="9"/>
      <c r="T142" s="10"/>
      <c r="U142" s="11"/>
      <c r="V142" s="12"/>
      <c r="W142" s="13"/>
      <c r="Y142" s="6"/>
      <c r="Z142" s="7"/>
      <c r="AA142" s="8"/>
      <c r="AB142" s="9"/>
      <c r="AD142" s="10"/>
      <c r="AE142" s="11"/>
      <c r="AF142" s="12"/>
      <c r="AG142" s="13"/>
      <c r="AI142" s="6"/>
      <c r="AJ142" s="7"/>
      <c r="AK142" s="8"/>
      <c r="AL142" s="9"/>
      <c r="AN142" s="10"/>
      <c r="AO142" s="11"/>
      <c r="AP142" s="12"/>
      <c r="AQ142" s="13"/>
      <c r="AS142" s="6"/>
      <c r="AT142" s="7"/>
      <c r="AU142" s="8"/>
      <c r="AV142" s="9"/>
      <c r="AX142" s="10"/>
      <c r="AY142" s="11"/>
      <c r="AZ142" s="12"/>
      <c r="BA142" s="13"/>
      <c r="BC142" s="6"/>
      <c r="BD142" s="7"/>
      <c r="BE142" s="8"/>
      <c r="BF142" s="9"/>
      <c r="BG142" s="4"/>
      <c r="BH142" s="46">
        <f t="shared" si="10"/>
        <v>0</v>
      </c>
      <c r="BI142" s="47">
        <f t="shared" si="11"/>
        <v>0</v>
      </c>
    </row>
    <row r="143" spans="1:61" x14ac:dyDescent="0.25">
      <c r="A143" s="42" t="s">
        <v>375</v>
      </c>
      <c r="B143" s="42" t="s">
        <v>53</v>
      </c>
      <c r="C143" s="42" t="s">
        <v>64</v>
      </c>
      <c r="D143" t="s">
        <v>54</v>
      </c>
      <c r="E143" s="6"/>
      <c r="F143" s="7"/>
      <c r="G143" s="8">
        <v>1</v>
      </c>
      <c r="H143" s="9"/>
      <c r="J143" s="10"/>
      <c r="K143" s="11"/>
      <c r="L143" s="12">
        <v>1</v>
      </c>
      <c r="M143" s="13"/>
      <c r="O143" s="6"/>
      <c r="P143" s="7"/>
      <c r="Q143" s="8"/>
      <c r="R143" s="9"/>
      <c r="T143" s="10"/>
      <c r="U143" s="11">
        <v>1</v>
      </c>
      <c r="V143" s="12"/>
      <c r="W143" s="13"/>
      <c r="Y143" s="6"/>
      <c r="Z143" s="7"/>
      <c r="AA143" s="8"/>
      <c r="AB143" s="9"/>
      <c r="AD143" s="10"/>
      <c r="AE143" s="11"/>
      <c r="AF143" s="12"/>
      <c r="AG143" s="13"/>
      <c r="AI143" s="6"/>
      <c r="AJ143" s="7">
        <v>1</v>
      </c>
      <c r="AK143" s="8"/>
      <c r="AL143" s="9">
        <v>1</v>
      </c>
      <c r="AN143" s="10"/>
      <c r="AO143" s="11"/>
      <c r="AP143" s="12"/>
      <c r="AQ143" s="13"/>
      <c r="AS143" s="6"/>
      <c r="AT143" s="7"/>
      <c r="AU143" s="8"/>
      <c r="AV143" s="9"/>
      <c r="AX143" s="10"/>
      <c r="AY143" s="11"/>
      <c r="AZ143" s="12"/>
      <c r="BA143" s="13"/>
      <c r="BC143" s="6"/>
      <c r="BD143" s="7"/>
      <c r="BE143" s="8"/>
      <c r="BF143" s="9"/>
      <c r="BG143" s="4"/>
      <c r="BH143" s="46">
        <f t="shared" si="10"/>
        <v>5</v>
      </c>
      <c r="BI143" s="47">
        <f t="shared" si="11"/>
        <v>1.5</v>
      </c>
    </row>
    <row r="144" spans="1:61" x14ac:dyDescent="0.25">
      <c r="A144" s="42" t="s">
        <v>376</v>
      </c>
      <c r="B144" s="42" t="s">
        <v>53</v>
      </c>
      <c r="C144" s="42" t="s">
        <v>64</v>
      </c>
      <c r="D144" t="s">
        <v>54</v>
      </c>
      <c r="E144" s="6"/>
      <c r="F144" s="7">
        <v>2</v>
      </c>
      <c r="G144" s="8"/>
      <c r="H144" s="9"/>
      <c r="J144" s="10"/>
      <c r="K144" s="11"/>
      <c r="L144" s="12"/>
      <c r="M144" s="13"/>
      <c r="O144" s="6"/>
      <c r="P144" s="7"/>
      <c r="Q144" s="8"/>
      <c r="R144" s="9"/>
      <c r="T144" s="10"/>
      <c r="U144" s="11"/>
      <c r="V144" s="12"/>
      <c r="W144" s="13"/>
      <c r="Y144" s="6"/>
      <c r="Z144" s="7"/>
      <c r="AA144" s="8"/>
      <c r="AB144" s="9"/>
      <c r="AD144" s="10"/>
      <c r="AE144" s="11"/>
      <c r="AF144" s="12"/>
      <c r="AG144" s="13"/>
      <c r="AI144" s="6"/>
      <c r="AJ144" s="7"/>
      <c r="AK144" s="8"/>
      <c r="AL144" s="9"/>
      <c r="AN144" s="10"/>
      <c r="AO144" s="11"/>
      <c r="AP144" s="12"/>
      <c r="AQ144" s="13"/>
      <c r="AS144" s="6"/>
      <c r="AT144" s="7"/>
      <c r="AU144" s="8"/>
      <c r="AV144" s="9"/>
      <c r="AX144" s="10"/>
      <c r="AY144" s="11"/>
      <c r="AZ144" s="12"/>
      <c r="BA144" s="13"/>
      <c r="BC144" s="6"/>
      <c r="BD144" s="7"/>
      <c r="BE144" s="8"/>
      <c r="BF144" s="9"/>
      <c r="BG144" s="4"/>
      <c r="BH144" s="46">
        <f t="shared" si="10"/>
        <v>2</v>
      </c>
      <c r="BI144" s="47">
        <f t="shared" si="11"/>
        <v>0.6</v>
      </c>
    </row>
    <row r="145" spans="1:61" x14ac:dyDescent="0.25">
      <c r="A145" s="42" t="s">
        <v>349</v>
      </c>
      <c r="B145" s="42" t="s">
        <v>53</v>
      </c>
      <c r="C145" s="42" t="s">
        <v>64</v>
      </c>
      <c r="D145" t="s">
        <v>54</v>
      </c>
      <c r="E145" s="6"/>
      <c r="F145" s="7">
        <v>3</v>
      </c>
      <c r="G145" s="8"/>
      <c r="H145" s="9"/>
      <c r="J145" s="10"/>
      <c r="K145" s="11"/>
      <c r="L145" s="12"/>
      <c r="M145" s="13">
        <v>3</v>
      </c>
      <c r="O145" s="6"/>
      <c r="P145" s="7"/>
      <c r="Q145" s="8"/>
      <c r="R145" s="9"/>
      <c r="T145" s="10"/>
      <c r="U145" s="11"/>
      <c r="V145" s="12"/>
      <c r="W145" s="13"/>
      <c r="Y145" s="6"/>
      <c r="Z145" s="7"/>
      <c r="AA145" s="8"/>
      <c r="AB145" s="9"/>
      <c r="AD145" s="10"/>
      <c r="AE145" s="11"/>
      <c r="AF145" s="12"/>
      <c r="AG145" s="13"/>
      <c r="AI145" s="6"/>
      <c r="AJ145" s="7"/>
      <c r="AK145" s="8"/>
      <c r="AL145" s="9"/>
      <c r="AN145" s="10"/>
      <c r="AO145" s="11"/>
      <c r="AP145" s="12"/>
      <c r="AQ145" s="13"/>
      <c r="AS145" s="6"/>
      <c r="AT145" s="7"/>
      <c r="AU145" s="8"/>
      <c r="AV145" s="9"/>
      <c r="AX145" s="10"/>
      <c r="AY145" s="11"/>
      <c r="AZ145" s="12"/>
      <c r="BA145" s="13"/>
      <c r="BC145" s="6"/>
      <c r="BD145" s="7"/>
      <c r="BE145" s="8"/>
      <c r="BF145" s="9"/>
      <c r="BG145" s="4"/>
      <c r="BH145" s="46">
        <f t="shared" si="10"/>
        <v>6</v>
      </c>
      <c r="BI145" s="47">
        <f t="shared" si="11"/>
        <v>1.7999999999999998</v>
      </c>
    </row>
    <row r="146" spans="1:61" x14ac:dyDescent="0.25">
      <c r="A146" s="42" t="s">
        <v>382</v>
      </c>
      <c r="B146" s="42" t="s">
        <v>53</v>
      </c>
      <c r="C146" s="42" t="s">
        <v>64</v>
      </c>
      <c r="D146" t="s">
        <v>54</v>
      </c>
      <c r="E146" s="6"/>
      <c r="F146" s="7"/>
      <c r="G146" s="8"/>
      <c r="H146" s="9"/>
      <c r="J146" s="10"/>
      <c r="K146" s="11"/>
      <c r="L146" s="12"/>
      <c r="M146" s="13">
        <v>3</v>
      </c>
      <c r="O146" s="6"/>
      <c r="P146" s="7"/>
      <c r="Q146" s="8"/>
      <c r="R146" s="9"/>
      <c r="T146" s="10"/>
      <c r="U146" s="11"/>
      <c r="V146" s="12"/>
      <c r="W146" s="13"/>
      <c r="Y146" s="6"/>
      <c r="Z146" s="7"/>
      <c r="AA146" s="8"/>
      <c r="AB146" s="9"/>
      <c r="AD146" s="10"/>
      <c r="AE146" s="11"/>
      <c r="AF146" s="12"/>
      <c r="AG146" s="13"/>
      <c r="AI146" s="6"/>
      <c r="AJ146" s="7"/>
      <c r="AK146" s="8"/>
      <c r="AL146" s="9">
        <v>4</v>
      </c>
      <c r="AN146" s="10"/>
      <c r="AO146" s="11"/>
      <c r="AP146" s="12"/>
      <c r="AQ146" s="13"/>
      <c r="AS146" s="6"/>
      <c r="AT146" s="7"/>
      <c r="AU146" s="8"/>
      <c r="AV146" s="9"/>
      <c r="AX146" s="10"/>
      <c r="AY146" s="11"/>
      <c r="AZ146" s="12"/>
      <c r="BA146" s="13"/>
      <c r="BC146" s="6"/>
      <c r="BD146" s="7"/>
      <c r="BE146" s="8"/>
      <c r="BF146" s="9"/>
      <c r="BG146" s="4"/>
      <c r="BH146" s="46">
        <f t="shared" ref="BH146:BH160" si="20">SUM(E146:BF146)</f>
        <v>7</v>
      </c>
      <c r="BI146" s="47">
        <f t="shared" ref="BI146:BI160" si="21">(SUM(E146:BG146)*$D$2)</f>
        <v>2.1</v>
      </c>
    </row>
    <row r="147" spans="1:61" x14ac:dyDescent="0.25">
      <c r="A147" s="42" t="s">
        <v>346</v>
      </c>
      <c r="B147" s="42"/>
      <c r="C147" s="42" t="s">
        <v>64</v>
      </c>
      <c r="E147" s="6"/>
      <c r="F147" s="7"/>
      <c r="G147" s="8"/>
      <c r="H147" s="9"/>
      <c r="J147" s="10"/>
      <c r="K147" s="11"/>
      <c r="L147" s="12"/>
      <c r="M147" s="13"/>
      <c r="O147" s="6"/>
      <c r="P147" s="7"/>
      <c r="Q147" s="8"/>
      <c r="R147" s="9"/>
      <c r="T147" s="10"/>
      <c r="U147" s="11"/>
      <c r="V147" s="12"/>
      <c r="W147" s="13"/>
      <c r="Y147" s="6"/>
      <c r="Z147" s="7"/>
      <c r="AA147" s="8"/>
      <c r="AB147" s="9"/>
      <c r="AD147" s="10"/>
      <c r="AE147" s="11"/>
      <c r="AF147" s="12"/>
      <c r="AG147" s="13"/>
      <c r="AI147" s="6"/>
      <c r="AJ147" s="7"/>
      <c r="AK147" s="8"/>
      <c r="AL147" s="9"/>
      <c r="AN147" s="10"/>
      <c r="AO147" s="11"/>
      <c r="AP147" s="12"/>
      <c r="AQ147" s="13"/>
      <c r="AS147" s="6"/>
      <c r="AT147" s="7"/>
      <c r="AU147" s="8"/>
      <c r="AV147" s="9"/>
      <c r="AX147" s="10"/>
      <c r="AY147" s="11"/>
      <c r="AZ147" s="12"/>
      <c r="BA147" s="13"/>
      <c r="BC147" s="6"/>
      <c r="BD147" s="7"/>
      <c r="BE147" s="8"/>
      <c r="BF147" s="9"/>
      <c r="BG147" s="4"/>
      <c r="BH147" s="46">
        <f t="shared" si="20"/>
        <v>0</v>
      </c>
      <c r="BI147" s="47">
        <f t="shared" si="21"/>
        <v>0</v>
      </c>
    </row>
    <row r="148" spans="1:61" x14ac:dyDescent="0.25">
      <c r="A148" s="42" t="s">
        <v>418</v>
      </c>
      <c r="B148" s="42">
        <v>5</v>
      </c>
      <c r="C148" s="42" t="s">
        <v>64</v>
      </c>
      <c r="E148" s="6"/>
      <c r="F148" s="7"/>
      <c r="G148" s="8"/>
      <c r="H148" s="9"/>
      <c r="J148" s="10"/>
      <c r="K148" s="11"/>
      <c r="L148" s="12"/>
      <c r="M148" s="13"/>
      <c r="O148" s="6"/>
      <c r="P148" s="7"/>
      <c r="Q148" s="8"/>
      <c r="R148" s="9"/>
      <c r="T148" s="10"/>
      <c r="U148" s="11"/>
      <c r="V148" s="12"/>
      <c r="W148" s="13"/>
      <c r="Y148" s="6"/>
      <c r="Z148" s="7"/>
      <c r="AA148" s="8"/>
      <c r="AB148" s="9"/>
      <c r="AD148" s="10"/>
      <c r="AE148" s="11"/>
      <c r="AF148" s="12"/>
      <c r="AG148" s="13"/>
      <c r="AI148" s="6"/>
      <c r="AJ148" s="7"/>
      <c r="AK148" s="8"/>
      <c r="AL148" s="9"/>
      <c r="AN148" s="10"/>
      <c r="AO148" s="11"/>
      <c r="AP148" s="12"/>
      <c r="AQ148" s="13"/>
      <c r="AS148" s="6"/>
      <c r="AT148" s="7"/>
      <c r="AU148" s="8"/>
      <c r="AV148" s="9"/>
      <c r="AX148" s="10"/>
      <c r="AY148" s="11"/>
      <c r="AZ148" s="12"/>
      <c r="BA148" s="13"/>
      <c r="BC148" s="6"/>
      <c r="BD148" s="7"/>
      <c r="BE148" s="8"/>
      <c r="BF148" s="9"/>
      <c r="BG148" s="4"/>
      <c r="BH148" s="46">
        <f t="shared" si="20"/>
        <v>0</v>
      </c>
      <c r="BI148" s="47">
        <f t="shared" si="21"/>
        <v>0</v>
      </c>
    </row>
    <row r="149" spans="1:61" x14ac:dyDescent="0.25">
      <c r="A149" s="42" t="s">
        <v>350</v>
      </c>
      <c r="B149" s="42">
        <v>3</v>
      </c>
      <c r="C149" s="42" t="s">
        <v>64</v>
      </c>
      <c r="E149" s="6"/>
      <c r="F149" s="7"/>
      <c r="G149" s="8"/>
      <c r="H149" s="9"/>
      <c r="J149" s="10"/>
      <c r="K149" s="11"/>
      <c r="L149" s="12"/>
      <c r="M149" s="13"/>
      <c r="O149" s="6"/>
      <c r="P149" s="7"/>
      <c r="Q149" s="8"/>
      <c r="R149" s="9"/>
      <c r="T149" s="10"/>
      <c r="U149" s="11"/>
      <c r="V149" s="12"/>
      <c r="W149" s="13"/>
      <c r="Y149" s="6"/>
      <c r="Z149" s="7"/>
      <c r="AA149" s="8"/>
      <c r="AB149" s="9"/>
      <c r="AD149" s="10"/>
      <c r="AE149" s="11"/>
      <c r="AF149" s="12"/>
      <c r="AG149" s="13"/>
      <c r="AI149" s="6"/>
      <c r="AJ149" s="7"/>
      <c r="AK149" s="8"/>
      <c r="AL149" s="9"/>
      <c r="AN149" s="10"/>
      <c r="AO149" s="11"/>
      <c r="AP149" s="12"/>
      <c r="AQ149" s="13"/>
      <c r="AS149" s="6"/>
      <c r="AT149" s="7"/>
      <c r="AU149" s="8"/>
      <c r="AV149" s="9"/>
      <c r="AX149" s="10"/>
      <c r="AY149" s="11"/>
      <c r="AZ149" s="12"/>
      <c r="BA149" s="13"/>
      <c r="BC149" s="6"/>
      <c r="BD149" s="7"/>
      <c r="BE149" s="8"/>
      <c r="BF149" s="9"/>
      <c r="BG149" s="4"/>
      <c r="BH149" s="46">
        <f t="shared" si="20"/>
        <v>0</v>
      </c>
      <c r="BI149" s="47">
        <f t="shared" si="21"/>
        <v>0</v>
      </c>
    </row>
    <row r="150" spans="1:61" x14ac:dyDescent="0.25">
      <c r="A150" s="42" t="s">
        <v>429</v>
      </c>
      <c r="B150" s="42"/>
      <c r="C150" s="42" t="s">
        <v>64</v>
      </c>
      <c r="E150" s="6"/>
      <c r="F150" s="7"/>
      <c r="G150" s="8"/>
      <c r="H150" s="9"/>
      <c r="J150" s="10"/>
      <c r="K150" s="11"/>
      <c r="L150" s="12"/>
      <c r="M150" s="13"/>
      <c r="O150" s="6"/>
      <c r="P150" s="7"/>
      <c r="Q150" s="8"/>
      <c r="R150" s="9"/>
      <c r="T150" s="10"/>
      <c r="U150" s="11"/>
      <c r="V150" s="12"/>
      <c r="W150" s="13"/>
      <c r="Y150" s="6"/>
      <c r="Z150" s="7"/>
      <c r="AA150" s="8"/>
      <c r="AB150" s="9"/>
      <c r="AD150" s="10"/>
      <c r="AE150" s="11"/>
      <c r="AF150" s="12"/>
      <c r="AG150" s="13"/>
      <c r="AI150" s="6"/>
      <c r="AJ150" s="7"/>
      <c r="AK150" s="8"/>
      <c r="AL150" s="9"/>
      <c r="AN150" s="10"/>
      <c r="AO150" s="11"/>
      <c r="AP150" s="12"/>
      <c r="AQ150" s="13"/>
      <c r="AS150" s="6"/>
      <c r="AT150" s="7"/>
      <c r="AU150" s="8"/>
      <c r="AV150" s="9"/>
      <c r="AX150" s="10"/>
      <c r="AY150" s="11"/>
      <c r="AZ150" s="12"/>
      <c r="BA150" s="13"/>
      <c r="BC150" s="6"/>
      <c r="BD150" s="7"/>
      <c r="BE150" s="8"/>
      <c r="BF150" s="9"/>
      <c r="BG150" s="4"/>
      <c r="BH150" s="46">
        <f t="shared" si="20"/>
        <v>0</v>
      </c>
      <c r="BI150" s="47">
        <f t="shared" si="21"/>
        <v>0</v>
      </c>
    </row>
    <row r="151" spans="1:61" x14ac:dyDescent="0.25">
      <c r="A151" s="42" t="s">
        <v>430</v>
      </c>
      <c r="B151" s="42"/>
      <c r="C151" s="42" t="s">
        <v>64</v>
      </c>
      <c r="E151" s="6"/>
      <c r="F151" s="7"/>
      <c r="G151" s="8"/>
      <c r="H151" s="9"/>
      <c r="J151" s="10"/>
      <c r="K151" s="11"/>
      <c r="L151" s="12"/>
      <c r="M151" s="13"/>
      <c r="O151" s="6"/>
      <c r="P151" s="7"/>
      <c r="Q151" s="8"/>
      <c r="R151" s="9"/>
      <c r="T151" s="10"/>
      <c r="U151" s="11"/>
      <c r="V151" s="12"/>
      <c r="W151" s="13"/>
      <c r="Y151" s="6"/>
      <c r="Z151" s="7"/>
      <c r="AA151" s="8"/>
      <c r="AB151" s="9"/>
      <c r="AD151" s="10"/>
      <c r="AE151" s="11"/>
      <c r="AF151" s="12"/>
      <c r="AG151" s="13"/>
      <c r="AI151" s="6"/>
      <c r="AJ151" s="7"/>
      <c r="AK151" s="8"/>
      <c r="AL151" s="9"/>
      <c r="AN151" s="10"/>
      <c r="AO151" s="11"/>
      <c r="AP151" s="12"/>
      <c r="AQ151" s="13"/>
      <c r="AS151" s="6"/>
      <c r="AT151" s="7"/>
      <c r="AU151" s="8"/>
      <c r="AV151" s="9"/>
      <c r="AX151" s="10"/>
      <c r="AY151" s="11"/>
      <c r="AZ151" s="12"/>
      <c r="BA151" s="13"/>
      <c r="BC151" s="6"/>
      <c r="BD151" s="7"/>
      <c r="BE151" s="8"/>
      <c r="BF151" s="9"/>
      <c r="BG151" s="4"/>
      <c r="BH151" s="46">
        <f t="shared" si="20"/>
        <v>0</v>
      </c>
      <c r="BI151" s="47">
        <f t="shared" si="21"/>
        <v>0</v>
      </c>
    </row>
    <row r="152" spans="1:61" x14ac:dyDescent="0.25">
      <c r="A152" s="42" t="s">
        <v>431</v>
      </c>
      <c r="B152" s="42"/>
      <c r="C152" s="42" t="s">
        <v>64</v>
      </c>
      <c r="E152" s="6"/>
      <c r="F152" s="7"/>
      <c r="G152" s="8"/>
      <c r="H152" s="9"/>
      <c r="J152" s="10"/>
      <c r="K152" s="11"/>
      <c r="L152" s="12"/>
      <c r="M152" s="13"/>
      <c r="O152" s="6"/>
      <c r="P152" s="7"/>
      <c r="Q152" s="8"/>
      <c r="R152" s="9"/>
      <c r="T152" s="10"/>
      <c r="U152" s="11"/>
      <c r="V152" s="12"/>
      <c r="W152" s="13"/>
      <c r="Y152" s="6"/>
      <c r="Z152" s="7"/>
      <c r="AA152" s="8"/>
      <c r="AB152" s="9"/>
      <c r="AD152" s="10"/>
      <c r="AE152" s="11"/>
      <c r="AF152" s="12"/>
      <c r="AG152" s="13"/>
      <c r="AI152" s="6"/>
      <c r="AJ152" s="7"/>
      <c r="AK152" s="8"/>
      <c r="AL152" s="9"/>
      <c r="AN152" s="10"/>
      <c r="AO152" s="11"/>
      <c r="AP152" s="12"/>
      <c r="AQ152" s="13"/>
      <c r="AS152" s="6"/>
      <c r="AT152" s="7"/>
      <c r="AU152" s="8"/>
      <c r="AV152" s="9"/>
      <c r="AX152" s="10"/>
      <c r="AY152" s="11"/>
      <c r="AZ152" s="12"/>
      <c r="BA152" s="13"/>
      <c r="BC152" s="6"/>
      <c r="BD152" s="7"/>
      <c r="BE152" s="8"/>
      <c r="BF152" s="9"/>
      <c r="BG152" s="4"/>
      <c r="BH152" s="46">
        <f t="shared" si="20"/>
        <v>0</v>
      </c>
      <c r="BI152" s="47">
        <f t="shared" si="21"/>
        <v>0</v>
      </c>
    </row>
    <row r="153" spans="1:61" x14ac:dyDescent="0.25">
      <c r="A153" s="42" t="s">
        <v>432</v>
      </c>
      <c r="B153" s="42"/>
      <c r="C153" s="42" t="s">
        <v>64</v>
      </c>
      <c r="E153" s="6"/>
      <c r="F153" s="7"/>
      <c r="G153" s="8"/>
      <c r="H153" s="9"/>
      <c r="J153" s="10"/>
      <c r="K153" s="11"/>
      <c r="L153" s="12"/>
      <c r="M153" s="13"/>
      <c r="O153" s="6"/>
      <c r="P153" s="7"/>
      <c r="Q153" s="8"/>
      <c r="R153" s="9"/>
      <c r="T153" s="10"/>
      <c r="U153" s="11"/>
      <c r="V153" s="12"/>
      <c r="W153" s="13"/>
      <c r="Y153" s="6"/>
      <c r="Z153" s="7"/>
      <c r="AA153" s="8"/>
      <c r="AB153" s="9"/>
      <c r="AD153" s="10"/>
      <c r="AE153" s="11"/>
      <c r="AF153" s="12"/>
      <c r="AG153" s="13"/>
      <c r="AI153" s="6"/>
      <c r="AJ153" s="7"/>
      <c r="AK153" s="8"/>
      <c r="AL153" s="9"/>
      <c r="AN153" s="10"/>
      <c r="AO153" s="11"/>
      <c r="AP153" s="12"/>
      <c r="AQ153" s="13"/>
      <c r="AS153" s="6"/>
      <c r="AT153" s="7"/>
      <c r="AU153" s="8"/>
      <c r="AV153" s="9"/>
      <c r="AX153" s="10"/>
      <c r="AY153" s="11"/>
      <c r="AZ153" s="12"/>
      <c r="BA153" s="13"/>
      <c r="BC153" s="6"/>
      <c r="BD153" s="7"/>
      <c r="BE153" s="8"/>
      <c r="BF153" s="9"/>
      <c r="BG153" s="4"/>
      <c r="BH153" s="46">
        <f t="shared" si="20"/>
        <v>0</v>
      </c>
      <c r="BI153" s="47">
        <f t="shared" si="21"/>
        <v>0</v>
      </c>
    </row>
    <row r="154" spans="1:61" x14ac:dyDescent="0.25">
      <c r="A154" s="42" t="s">
        <v>433</v>
      </c>
      <c r="B154" s="42"/>
      <c r="C154" s="42" t="s">
        <v>64</v>
      </c>
      <c r="E154" s="6"/>
      <c r="F154" s="7"/>
      <c r="G154" s="8"/>
      <c r="H154" s="9"/>
      <c r="J154" s="10"/>
      <c r="K154" s="11"/>
      <c r="L154" s="12"/>
      <c r="M154" s="13"/>
      <c r="O154" s="6"/>
      <c r="P154" s="7"/>
      <c r="Q154" s="8"/>
      <c r="R154" s="9"/>
      <c r="T154" s="10"/>
      <c r="U154" s="11"/>
      <c r="V154" s="12"/>
      <c r="W154" s="13"/>
      <c r="Y154" s="6"/>
      <c r="Z154" s="7"/>
      <c r="AA154" s="8"/>
      <c r="AB154" s="9"/>
      <c r="AD154" s="10"/>
      <c r="AE154" s="11"/>
      <c r="AF154" s="12"/>
      <c r="AG154" s="13"/>
      <c r="AI154" s="6"/>
      <c r="AJ154" s="7"/>
      <c r="AK154" s="8"/>
      <c r="AL154" s="9"/>
      <c r="AN154" s="10"/>
      <c r="AO154" s="11"/>
      <c r="AP154" s="12"/>
      <c r="AQ154" s="13"/>
      <c r="AS154" s="6"/>
      <c r="AT154" s="7"/>
      <c r="AU154" s="8"/>
      <c r="AV154" s="9"/>
      <c r="AX154" s="10"/>
      <c r="AY154" s="11"/>
      <c r="AZ154" s="12"/>
      <c r="BA154" s="13"/>
      <c r="BC154" s="6"/>
      <c r="BD154" s="7"/>
      <c r="BE154" s="8"/>
      <c r="BF154" s="9"/>
      <c r="BG154" s="4"/>
      <c r="BH154" s="46">
        <f t="shared" si="20"/>
        <v>0</v>
      </c>
      <c r="BI154" s="47">
        <f t="shared" si="21"/>
        <v>0</v>
      </c>
    </row>
    <row r="155" spans="1:61" x14ac:dyDescent="0.25">
      <c r="A155" s="42" t="s">
        <v>383</v>
      </c>
      <c r="B155" s="42"/>
      <c r="C155" s="42" t="s">
        <v>64</v>
      </c>
      <c r="E155" s="6"/>
      <c r="F155" s="7">
        <v>2</v>
      </c>
      <c r="G155" s="8"/>
      <c r="H155" s="9"/>
      <c r="J155" s="10"/>
      <c r="K155" s="11"/>
      <c r="L155" s="12"/>
      <c r="M155" s="13"/>
      <c r="O155" s="6"/>
      <c r="P155" s="7"/>
      <c r="Q155" s="8"/>
      <c r="R155" s="9"/>
      <c r="T155" s="10"/>
      <c r="U155" s="11"/>
      <c r="V155" s="12"/>
      <c r="W155" s="13"/>
      <c r="Y155" s="6"/>
      <c r="Z155" s="7"/>
      <c r="AA155" s="8"/>
      <c r="AB155" s="9"/>
      <c r="AD155" s="10"/>
      <c r="AE155" s="11"/>
      <c r="AF155" s="12"/>
      <c r="AG155" s="13"/>
      <c r="AI155" s="6"/>
      <c r="AJ155" s="7"/>
      <c r="AK155" s="8"/>
      <c r="AL155" s="9"/>
      <c r="AN155" s="10"/>
      <c r="AO155" s="11"/>
      <c r="AP155" s="12"/>
      <c r="AQ155" s="13"/>
      <c r="AS155" s="6"/>
      <c r="AT155" s="7"/>
      <c r="AU155" s="8"/>
      <c r="AV155" s="9"/>
      <c r="AX155" s="10"/>
      <c r="AY155" s="11"/>
      <c r="AZ155" s="12"/>
      <c r="BA155" s="13"/>
      <c r="BC155" s="6"/>
      <c r="BD155" s="7"/>
      <c r="BE155" s="8"/>
      <c r="BF155" s="9"/>
      <c r="BG155" s="4"/>
      <c r="BH155" s="46">
        <f t="shared" ref="BH155:BH159" si="22">SUM(E155:BF155)</f>
        <v>2</v>
      </c>
      <c r="BI155" s="47">
        <f t="shared" ref="BI155:BI159" si="23">(SUM(E155:BG155)*$D$2)</f>
        <v>0.6</v>
      </c>
    </row>
    <row r="156" spans="1:61" x14ac:dyDescent="0.25">
      <c r="A156" s="42" t="s">
        <v>442</v>
      </c>
      <c r="B156" s="42"/>
      <c r="C156" s="42" t="s">
        <v>64</v>
      </c>
      <c r="E156" s="6"/>
      <c r="F156" s="7"/>
      <c r="G156" s="8"/>
      <c r="H156" s="9"/>
      <c r="J156" s="10"/>
      <c r="K156" s="11"/>
      <c r="L156" s="12"/>
      <c r="M156" s="13"/>
      <c r="O156" s="6"/>
      <c r="P156" s="7"/>
      <c r="Q156" s="8"/>
      <c r="R156" s="9"/>
      <c r="T156" s="10"/>
      <c r="U156" s="11"/>
      <c r="V156" s="12"/>
      <c r="W156" s="13"/>
      <c r="Y156" s="6"/>
      <c r="Z156" s="7"/>
      <c r="AA156" s="8"/>
      <c r="AB156" s="9"/>
      <c r="AD156" s="10"/>
      <c r="AE156" s="11"/>
      <c r="AF156" s="12"/>
      <c r="AG156" s="13"/>
      <c r="AI156" s="6"/>
      <c r="AJ156" s="7"/>
      <c r="AK156" s="8"/>
      <c r="AL156" s="9"/>
      <c r="AN156" s="10"/>
      <c r="AO156" s="11"/>
      <c r="AP156" s="12"/>
      <c r="AQ156" s="13"/>
      <c r="AS156" s="6"/>
      <c r="AT156" s="7"/>
      <c r="AU156" s="8"/>
      <c r="AV156" s="9"/>
      <c r="AX156" s="10"/>
      <c r="AY156" s="11"/>
      <c r="AZ156" s="12"/>
      <c r="BA156" s="13"/>
      <c r="BC156" s="6"/>
      <c r="BD156" s="7"/>
      <c r="BE156" s="8"/>
      <c r="BF156" s="9"/>
      <c r="BG156" s="4"/>
      <c r="BH156" s="46">
        <f t="shared" si="22"/>
        <v>0</v>
      </c>
      <c r="BI156" s="47">
        <f t="shared" si="23"/>
        <v>0</v>
      </c>
    </row>
    <row r="157" spans="1:61" x14ac:dyDescent="0.25">
      <c r="A157" s="42" t="s">
        <v>443</v>
      </c>
      <c r="B157" s="42"/>
      <c r="C157" s="42" t="s">
        <v>64</v>
      </c>
      <c r="E157" s="6"/>
      <c r="F157" s="7"/>
      <c r="G157" s="8"/>
      <c r="H157" s="9"/>
      <c r="J157" s="10"/>
      <c r="K157" s="11"/>
      <c r="L157" s="12"/>
      <c r="M157" s="13"/>
      <c r="O157" s="6"/>
      <c r="P157" s="7"/>
      <c r="Q157" s="8"/>
      <c r="R157" s="9"/>
      <c r="T157" s="10"/>
      <c r="U157" s="11"/>
      <c r="V157" s="12"/>
      <c r="W157" s="13"/>
      <c r="Y157" s="6"/>
      <c r="Z157" s="7"/>
      <c r="AA157" s="8"/>
      <c r="AB157" s="9"/>
      <c r="AD157" s="10"/>
      <c r="AE157" s="11"/>
      <c r="AF157" s="12"/>
      <c r="AG157" s="13"/>
      <c r="AI157" s="6"/>
      <c r="AJ157" s="7"/>
      <c r="AK157" s="8"/>
      <c r="AL157" s="9"/>
      <c r="AN157" s="10"/>
      <c r="AO157" s="11"/>
      <c r="AP157" s="12"/>
      <c r="AQ157" s="13"/>
      <c r="AS157" s="6"/>
      <c r="AT157" s="7"/>
      <c r="AU157" s="8"/>
      <c r="AV157" s="9"/>
      <c r="AX157" s="10"/>
      <c r="AY157" s="11"/>
      <c r="AZ157" s="12"/>
      <c r="BA157" s="13"/>
      <c r="BC157" s="6"/>
      <c r="BD157" s="7"/>
      <c r="BE157" s="8"/>
      <c r="BF157" s="9"/>
      <c r="BG157" s="4"/>
      <c r="BH157" s="46">
        <f t="shared" si="22"/>
        <v>0</v>
      </c>
      <c r="BI157" s="47">
        <f t="shared" si="23"/>
        <v>0</v>
      </c>
    </row>
    <row r="158" spans="1:61" x14ac:dyDescent="0.25">
      <c r="A158" s="42" t="s">
        <v>450</v>
      </c>
      <c r="B158" s="42"/>
      <c r="C158" s="42" t="s">
        <v>64</v>
      </c>
      <c r="E158" s="6"/>
      <c r="F158" s="7"/>
      <c r="G158" s="8"/>
      <c r="H158" s="9"/>
      <c r="J158" s="10"/>
      <c r="K158" s="11"/>
      <c r="L158" s="12"/>
      <c r="M158" s="13"/>
      <c r="O158" s="6"/>
      <c r="P158" s="7"/>
      <c r="Q158" s="8"/>
      <c r="R158" s="9"/>
      <c r="T158" s="10"/>
      <c r="U158" s="11"/>
      <c r="V158" s="12"/>
      <c r="W158" s="13"/>
      <c r="Y158" s="6"/>
      <c r="Z158" s="7"/>
      <c r="AA158" s="8"/>
      <c r="AB158" s="9"/>
      <c r="AD158" s="10"/>
      <c r="AE158" s="11"/>
      <c r="AF158" s="12"/>
      <c r="AG158" s="13"/>
      <c r="AI158" s="6"/>
      <c r="AJ158" s="7"/>
      <c r="AK158" s="8"/>
      <c r="AL158" s="9"/>
      <c r="AN158" s="10"/>
      <c r="AO158" s="11"/>
      <c r="AP158" s="12"/>
      <c r="AQ158" s="13"/>
      <c r="AS158" s="6"/>
      <c r="AT158" s="7"/>
      <c r="AU158" s="8"/>
      <c r="AV158" s="9"/>
      <c r="AX158" s="10"/>
      <c r="AY158" s="11"/>
      <c r="AZ158" s="12"/>
      <c r="BA158" s="13"/>
      <c r="BC158" s="6"/>
      <c r="BD158" s="7"/>
      <c r="BE158" s="8"/>
      <c r="BF158" s="9"/>
      <c r="BG158" s="4"/>
      <c r="BH158" s="46">
        <f t="shared" si="22"/>
        <v>0</v>
      </c>
      <c r="BI158" s="47">
        <f t="shared" si="23"/>
        <v>0</v>
      </c>
    </row>
    <row r="159" spans="1:61" x14ac:dyDescent="0.25">
      <c r="A159" s="42" t="s">
        <v>455</v>
      </c>
      <c r="B159" s="42"/>
      <c r="C159" s="42" t="s">
        <v>64</v>
      </c>
      <c r="E159" s="6"/>
      <c r="F159" s="7"/>
      <c r="G159" s="8"/>
      <c r="H159" s="9"/>
      <c r="J159" s="10"/>
      <c r="K159" s="11"/>
      <c r="L159" s="12"/>
      <c r="M159" s="13"/>
      <c r="O159" s="6"/>
      <c r="P159" s="7"/>
      <c r="Q159" s="8"/>
      <c r="R159" s="9"/>
      <c r="T159" s="10"/>
      <c r="U159" s="11"/>
      <c r="V159" s="12"/>
      <c r="W159" s="13"/>
      <c r="Y159" s="6"/>
      <c r="Z159" s="7"/>
      <c r="AA159" s="8"/>
      <c r="AB159" s="9"/>
      <c r="AD159" s="10"/>
      <c r="AE159" s="11"/>
      <c r="AF159" s="12"/>
      <c r="AG159" s="13"/>
      <c r="AI159" s="6"/>
      <c r="AJ159" s="7"/>
      <c r="AK159" s="8"/>
      <c r="AL159" s="9"/>
      <c r="AN159" s="10"/>
      <c r="AO159" s="11"/>
      <c r="AP159" s="12"/>
      <c r="AQ159" s="13"/>
      <c r="AS159" s="6"/>
      <c r="AT159" s="7"/>
      <c r="AU159" s="8"/>
      <c r="AV159" s="9"/>
      <c r="AX159" s="10"/>
      <c r="AY159" s="11"/>
      <c r="AZ159" s="12"/>
      <c r="BA159" s="13"/>
      <c r="BC159" s="6"/>
      <c r="BD159" s="7"/>
      <c r="BE159" s="8"/>
      <c r="BF159" s="9"/>
      <c r="BG159" s="4"/>
      <c r="BH159" s="46">
        <f t="shared" si="22"/>
        <v>0</v>
      </c>
      <c r="BI159" s="47">
        <f t="shared" si="23"/>
        <v>0</v>
      </c>
    </row>
    <row r="160" spans="1:61" x14ac:dyDescent="0.25">
      <c r="A160" s="42" t="s">
        <v>457</v>
      </c>
      <c r="B160" s="42"/>
      <c r="C160" s="42" t="s">
        <v>64</v>
      </c>
      <c r="E160" s="6"/>
      <c r="F160" s="7"/>
      <c r="G160" s="8"/>
      <c r="H160" s="9"/>
      <c r="J160" s="10"/>
      <c r="K160" s="11"/>
      <c r="L160" s="12"/>
      <c r="M160" s="13"/>
      <c r="O160" s="6"/>
      <c r="P160" s="7"/>
      <c r="Q160" s="8"/>
      <c r="R160" s="9"/>
      <c r="T160" s="10"/>
      <c r="U160" s="11"/>
      <c r="V160" s="12"/>
      <c r="W160" s="13"/>
      <c r="Y160" s="6"/>
      <c r="Z160" s="7"/>
      <c r="AA160" s="8"/>
      <c r="AB160" s="9"/>
      <c r="AD160" s="10"/>
      <c r="AE160" s="11"/>
      <c r="AF160" s="12"/>
      <c r="AG160" s="13"/>
      <c r="AI160" s="6"/>
      <c r="AJ160" s="7"/>
      <c r="AK160" s="8"/>
      <c r="AL160" s="9"/>
      <c r="AN160" s="10"/>
      <c r="AO160" s="11"/>
      <c r="AP160" s="12"/>
      <c r="AQ160" s="13"/>
      <c r="AS160" s="6"/>
      <c r="AT160" s="7"/>
      <c r="AU160" s="8"/>
      <c r="AV160" s="9"/>
      <c r="AX160" s="10"/>
      <c r="AY160" s="11"/>
      <c r="AZ160" s="12"/>
      <c r="BA160" s="13"/>
      <c r="BC160" s="6"/>
      <c r="BD160" s="7"/>
      <c r="BE160" s="8"/>
      <c r="BF160" s="9"/>
      <c r="BG160" s="4"/>
      <c r="BH160" s="46">
        <f t="shared" si="20"/>
        <v>0</v>
      </c>
      <c r="BI160" s="47">
        <f t="shared" si="21"/>
        <v>0</v>
      </c>
    </row>
    <row r="161" spans="1:61" x14ac:dyDescent="0.25">
      <c r="E161" s="6"/>
      <c r="F161" s="7"/>
      <c r="G161" s="8"/>
      <c r="H161" s="9"/>
      <c r="J161" s="10"/>
      <c r="K161" s="11"/>
      <c r="L161" s="12"/>
      <c r="M161" s="13"/>
      <c r="O161" s="6"/>
      <c r="P161" s="7"/>
      <c r="Q161" s="8"/>
      <c r="R161" s="9"/>
      <c r="T161" s="10"/>
      <c r="U161" s="11"/>
      <c r="V161" s="12"/>
      <c r="W161" s="13"/>
      <c r="Y161" s="6"/>
      <c r="Z161" s="7"/>
      <c r="AA161" s="8"/>
      <c r="AB161" s="9"/>
      <c r="AD161" s="10"/>
      <c r="AE161" s="11"/>
      <c r="AF161" s="12"/>
      <c r="AG161" s="13"/>
      <c r="AI161" s="6"/>
      <c r="AJ161" s="7"/>
      <c r="AK161" s="8"/>
      <c r="AL161" s="9"/>
      <c r="AN161" s="10"/>
      <c r="AO161" s="11"/>
      <c r="AP161" s="12"/>
      <c r="AQ161" s="13"/>
      <c r="AS161" s="6"/>
      <c r="AT161" s="7"/>
      <c r="AU161" s="8"/>
      <c r="AV161" s="9"/>
      <c r="AX161" s="10"/>
      <c r="AY161" s="11"/>
      <c r="AZ161" s="12"/>
      <c r="BA161" s="13"/>
      <c r="BC161" s="6"/>
      <c r="BD161" s="7"/>
      <c r="BE161" s="8"/>
      <c r="BF161" s="9"/>
      <c r="BG161" s="4"/>
      <c r="BH161" s="46"/>
      <c r="BI161" s="47"/>
    </row>
    <row r="162" spans="1:61" x14ac:dyDescent="0.25">
      <c r="A162" s="40" t="s">
        <v>279</v>
      </c>
      <c r="B162" s="41">
        <v>2</v>
      </c>
      <c r="C162" s="40" t="s">
        <v>66</v>
      </c>
      <c r="D162" t="s">
        <v>52</v>
      </c>
      <c r="E162" s="6"/>
      <c r="F162" s="7">
        <v>1</v>
      </c>
      <c r="G162" s="8"/>
      <c r="H162" s="9"/>
      <c r="J162" s="10"/>
      <c r="K162" s="11"/>
      <c r="L162" s="12"/>
      <c r="M162" s="13">
        <v>2</v>
      </c>
      <c r="O162" s="6"/>
      <c r="P162" s="7"/>
      <c r="Q162" s="8"/>
      <c r="R162" s="9"/>
      <c r="T162" s="10"/>
      <c r="U162" s="11"/>
      <c r="V162" s="12"/>
      <c r="W162" s="13"/>
      <c r="Y162" s="6"/>
      <c r="Z162" s="7"/>
      <c r="AA162" s="8"/>
      <c r="AB162" s="9"/>
      <c r="AD162" s="10"/>
      <c r="AE162" s="11"/>
      <c r="AF162" s="12"/>
      <c r="AG162" s="13"/>
      <c r="AI162" s="6"/>
      <c r="AJ162" s="7"/>
      <c r="AK162" s="8"/>
      <c r="AL162" s="9"/>
      <c r="AN162" s="10"/>
      <c r="AO162" s="11"/>
      <c r="AP162" s="12"/>
      <c r="AQ162" s="13"/>
      <c r="AS162" s="6"/>
      <c r="AT162" s="7"/>
      <c r="AU162" s="8"/>
      <c r="AV162" s="9"/>
      <c r="AX162" s="10"/>
      <c r="AY162" s="11"/>
      <c r="AZ162" s="12"/>
      <c r="BA162" s="13"/>
      <c r="BC162" s="6"/>
      <c r="BD162" s="7"/>
      <c r="BE162" s="8"/>
      <c r="BF162" s="9"/>
      <c r="BG162" s="4"/>
      <c r="BH162" s="46">
        <f t="shared" si="10"/>
        <v>3</v>
      </c>
      <c r="BI162" s="47">
        <f t="shared" si="11"/>
        <v>0.89999999999999991</v>
      </c>
    </row>
    <row r="163" spans="1:61" x14ac:dyDescent="0.25">
      <c r="A163" s="40" t="s">
        <v>384</v>
      </c>
      <c r="B163" s="41">
        <v>2</v>
      </c>
      <c r="C163" s="40" t="s">
        <v>66</v>
      </c>
      <c r="D163" t="s">
        <v>52</v>
      </c>
      <c r="E163" s="6"/>
      <c r="F163" s="7"/>
      <c r="G163" s="8"/>
      <c r="H163" s="9"/>
      <c r="J163" s="10"/>
      <c r="K163" s="11"/>
      <c r="L163" s="12"/>
      <c r="M163" s="13">
        <v>2</v>
      </c>
      <c r="O163" s="6"/>
      <c r="P163" s="7"/>
      <c r="Q163" s="8"/>
      <c r="R163" s="9"/>
      <c r="T163" s="10"/>
      <c r="U163" s="11"/>
      <c r="V163" s="12"/>
      <c r="W163" s="13"/>
      <c r="Y163" s="6"/>
      <c r="Z163" s="7"/>
      <c r="AA163" s="8"/>
      <c r="AB163" s="9"/>
      <c r="AD163" s="10"/>
      <c r="AE163" s="11"/>
      <c r="AF163" s="12"/>
      <c r="AG163" s="13"/>
      <c r="AI163" s="6"/>
      <c r="AJ163" s="7"/>
      <c r="AK163" s="8"/>
      <c r="AL163" s="9"/>
      <c r="AN163" s="10"/>
      <c r="AO163" s="11"/>
      <c r="AP163" s="12"/>
      <c r="AQ163" s="13"/>
      <c r="AS163" s="6"/>
      <c r="AT163" s="7"/>
      <c r="AU163" s="8"/>
      <c r="AV163" s="9"/>
      <c r="AX163" s="10"/>
      <c r="AY163" s="11"/>
      <c r="AZ163" s="12"/>
      <c r="BA163" s="13"/>
      <c r="BC163" s="6"/>
      <c r="BD163" s="7"/>
      <c r="BE163" s="8"/>
      <c r="BF163" s="9"/>
      <c r="BG163" s="4"/>
      <c r="BH163" s="46">
        <f t="shared" si="10"/>
        <v>2</v>
      </c>
      <c r="BI163" s="47">
        <f t="shared" si="11"/>
        <v>0.6</v>
      </c>
    </row>
    <row r="164" spans="1:61" x14ac:dyDescent="0.25">
      <c r="A164" s="40" t="s">
        <v>281</v>
      </c>
      <c r="B164" s="41">
        <v>2</v>
      </c>
      <c r="C164" s="40" t="s">
        <v>66</v>
      </c>
      <c r="D164" t="s">
        <v>52</v>
      </c>
      <c r="E164" s="6"/>
      <c r="F164" s="7"/>
      <c r="G164" s="8"/>
      <c r="H164" s="9"/>
      <c r="J164" s="10"/>
      <c r="K164" s="11"/>
      <c r="L164" s="12"/>
      <c r="M164" s="13"/>
      <c r="O164" s="6"/>
      <c r="P164" s="7"/>
      <c r="Q164" s="8"/>
      <c r="R164" s="9"/>
      <c r="T164" s="10"/>
      <c r="U164" s="11"/>
      <c r="V164" s="12"/>
      <c r="W164" s="13"/>
      <c r="Y164" s="6"/>
      <c r="Z164" s="7"/>
      <c r="AA164" s="8"/>
      <c r="AB164" s="9"/>
      <c r="AD164" s="10"/>
      <c r="AE164" s="11"/>
      <c r="AF164" s="12"/>
      <c r="AG164" s="13"/>
      <c r="AI164" s="6"/>
      <c r="AJ164" s="7"/>
      <c r="AK164" s="8"/>
      <c r="AL164" s="9"/>
      <c r="AN164" s="10"/>
      <c r="AO164" s="11"/>
      <c r="AP164" s="12">
        <v>3</v>
      </c>
      <c r="AQ164" s="13"/>
      <c r="AS164" s="6"/>
      <c r="AT164" s="7"/>
      <c r="AU164" s="8"/>
      <c r="AV164" s="9"/>
      <c r="AX164" s="10"/>
      <c r="AY164" s="11"/>
      <c r="AZ164" s="12"/>
      <c r="BA164" s="13"/>
      <c r="BC164" s="6"/>
      <c r="BD164" s="7"/>
      <c r="BE164" s="8"/>
      <c r="BF164" s="9"/>
      <c r="BG164" s="4"/>
      <c r="BH164" s="46">
        <f t="shared" si="10"/>
        <v>3</v>
      </c>
      <c r="BI164" s="47">
        <f t="shared" si="11"/>
        <v>0.89999999999999991</v>
      </c>
    </row>
    <row r="165" spans="1:61" x14ac:dyDescent="0.25">
      <c r="A165" s="40" t="s">
        <v>282</v>
      </c>
      <c r="B165" s="41">
        <v>2</v>
      </c>
      <c r="C165" s="40" t="s">
        <v>66</v>
      </c>
      <c r="D165" t="s">
        <v>52</v>
      </c>
      <c r="E165" s="6"/>
      <c r="F165" s="7"/>
      <c r="G165" s="8"/>
      <c r="H165" s="9"/>
      <c r="J165" s="10"/>
      <c r="K165" s="11"/>
      <c r="L165" s="12"/>
      <c r="M165" s="13"/>
      <c r="O165" s="6"/>
      <c r="P165" s="7"/>
      <c r="Q165" s="8"/>
      <c r="R165" s="9"/>
      <c r="T165" s="10"/>
      <c r="U165" s="11"/>
      <c r="V165" s="12"/>
      <c r="W165" s="13"/>
      <c r="Y165" s="6"/>
      <c r="Z165" s="7"/>
      <c r="AA165" s="8"/>
      <c r="AB165" s="9"/>
      <c r="AD165" s="10"/>
      <c r="AE165" s="11"/>
      <c r="AF165" s="12"/>
      <c r="AG165" s="13"/>
      <c r="AI165" s="6"/>
      <c r="AJ165" s="7"/>
      <c r="AK165" s="8"/>
      <c r="AL165" s="9"/>
      <c r="AN165" s="10"/>
      <c r="AO165" s="11"/>
      <c r="AP165">
        <v>3</v>
      </c>
      <c r="AQ165" s="13"/>
      <c r="AS165" s="6"/>
      <c r="AT165" s="7"/>
      <c r="AU165" s="8"/>
      <c r="AV165" s="9"/>
      <c r="AX165" s="10"/>
      <c r="AY165" s="11"/>
      <c r="AZ165" s="12"/>
      <c r="BA165" s="13"/>
      <c r="BC165" s="6"/>
      <c r="BD165" s="7"/>
      <c r="BE165" s="8"/>
      <c r="BF165" s="9"/>
      <c r="BG165" s="4"/>
      <c r="BH165" s="46">
        <f t="shared" si="10"/>
        <v>3</v>
      </c>
      <c r="BI165" s="47">
        <f t="shared" si="11"/>
        <v>0.89999999999999991</v>
      </c>
    </row>
    <row r="166" spans="1:61" x14ac:dyDescent="0.25">
      <c r="A166" s="40" t="s">
        <v>215</v>
      </c>
      <c r="B166" s="41">
        <v>2</v>
      </c>
      <c r="C166" s="40" t="s">
        <v>66</v>
      </c>
      <c r="D166" t="s">
        <v>52</v>
      </c>
      <c r="E166" s="6">
        <v>4</v>
      </c>
      <c r="F166" s="7"/>
      <c r="G166" s="8"/>
      <c r="H166" s="9"/>
      <c r="J166" s="10"/>
      <c r="K166" s="11"/>
      <c r="L166" s="12"/>
      <c r="M166" s="13"/>
      <c r="O166" s="6"/>
      <c r="P166" s="7"/>
      <c r="Q166" s="8"/>
      <c r="R166" s="9"/>
      <c r="T166" s="10"/>
      <c r="U166" s="11">
        <v>4</v>
      </c>
      <c r="V166" s="12">
        <v>2</v>
      </c>
      <c r="W166" s="13">
        <v>3</v>
      </c>
      <c r="Y166" s="6"/>
      <c r="Z166" s="7"/>
      <c r="AA166" s="8"/>
      <c r="AB166" s="9"/>
      <c r="AD166" s="10"/>
      <c r="AE166" s="11"/>
      <c r="AF166" s="12"/>
      <c r="AG166" s="13"/>
      <c r="AI166" s="6"/>
      <c r="AJ166" s="7">
        <v>4</v>
      </c>
      <c r="AK166" s="8">
        <v>2</v>
      </c>
      <c r="AL166" s="9">
        <v>3</v>
      </c>
      <c r="AN166" s="10"/>
      <c r="AO166" s="11"/>
      <c r="AP166" s="12">
        <v>3</v>
      </c>
      <c r="AQ166" s="13"/>
      <c r="AS166" s="6"/>
      <c r="AT166" s="7"/>
      <c r="AU166" s="8"/>
      <c r="AV166" s="9"/>
      <c r="AX166" s="10"/>
      <c r="AY166" s="11"/>
      <c r="AZ166" s="12"/>
      <c r="BA166" s="13"/>
      <c r="BC166" s="6"/>
      <c r="BD166" s="7"/>
      <c r="BE166" s="8"/>
      <c r="BF166" s="9"/>
      <c r="BG166" s="4"/>
      <c r="BH166" s="46">
        <f t="shared" si="10"/>
        <v>25</v>
      </c>
      <c r="BI166" s="47">
        <f t="shared" si="11"/>
        <v>7.5</v>
      </c>
    </row>
    <row r="167" spans="1:61" x14ac:dyDescent="0.25">
      <c r="A167" s="40" t="s">
        <v>327</v>
      </c>
      <c r="B167" s="41">
        <v>2</v>
      </c>
      <c r="C167" s="40" t="s">
        <v>66</v>
      </c>
      <c r="D167" t="s">
        <v>52</v>
      </c>
      <c r="E167" s="6"/>
      <c r="F167" s="7"/>
      <c r="G167" s="8"/>
      <c r="H167" s="9"/>
      <c r="J167" s="10"/>
      <c r="K167" s="11"/>
      <c r="L167" s="12"/>
      <c r="M167" s="13"/>
      <c r="O167" s="6"/>
      <c r="P167" s="7"/>
      <c r="Q167" s="8"/>
      <c r="R167" s="9"/>
      <c r="T167" s="10"/>
      <c r="U167" s="11"/>
      <c r="V167" s="12"/>
      <c r="W167" s="13"/>
      <c r="Y167" s="6"/>
      <c r="Z167" s="7"/>
      <c r="AA167" s="8"/>
      <c r="AB167" s="9"/>
      <c r="AD167" s="10"/>
      <c r="AE167" s="11"/>
      <c r="AF167" s="12"/>
      <c r="AG167" s="13"/>
      <c r="AI167" s="6"/>
      <c r="AJ167" s="7"/>
      <c r="AK167" s="8"/>
      <c r="AL167" s="9"/>
      <c r="AN167" s="10"/>
      <c r="AO167" s="11"/>
      <c r="AP167" s="12"/>
      <c r="AQ167" s="13"/>
      <c r="AS167" s="6"/>
      <c r="AT167" s="7"/>
      <c r="AU167" s="8"/>
      <c r="AV167" s="9"/>
      <c r="AX167" s="10"/>
      <c r="AY167" s="11"/>
      <c r="AZ167" s="12"/>
      <c r="BA167" s="13"/>
      <c r="BC167" s="6"/>
      <c r="BD167" s="7"/>
      <c r="BE167" s="8"/>
      <c r="BF167" s="9"/>
      <c r="BG167" s="4"/>
      <c r="BH167" s="46">
        <f t="shared" si="10"/>
        <v>0</v>
      </c>
      <c r="BI167" s="47">
        <f t="shared" si="11"/>
        <v>0</v>
      </c>
    </row>
    <row r="168" spans="1:61" x14ac:dyDescent="0.25">
      <c r="A168" s="40" t="s">
        <v>326</v>
      </c>
      <c r="B168" s="41">
        <v>10</v>
      </c>
      <c r="C168" s="40" t="s">
        <v>66</v>
      </c>
      <c r="D168" t="s">
        <v>59</v>
      </c>
      <c r="E168" s="6"/>
      <c r="F168" s="7"/>
      <c r="G168" s="8"/>
      <c r="H168" s="9"/>
      <c r="J168" s="10"/>
      <c r="K168" s="11"/>
      <c r="L168" s="12"/>
      <c r="M168" s="13"/>
      <c r="O168" s="6"/>
      <c r="P168" s="7"/>
      <c r="Q168" s="8"/>
      <c r="R168" s="9"/>
      <c r="T168" s="10"/>
      <c r="U168" s="11"/>
      <c r="V168" s="12"/>
      <c r="W168" s="13"/>
      <c r="Y168" s="6"/>
      <c r="Z168" s="7"/>
      <c r="AA168" s="8"/>
      <c r="AB168" s="9"/>
      <c r="AD168" s="10"/>
      <c r="AE168" s="11"/>
      <c r="AF168" s="12"/>
      <c r="AG168" s="13"/>
      <c r="AI168" s="6"/>
      <c r="AJ168" s="7"/>
      <c r="AK168" s="8"/>
      <c r="AL168" s="9"/>
      <c r="AN168" s="10"/>
      <c r="AO168" s="11"/>
      <c r="AP168" s="12"/>
      <c r="AQ168" s="13"/>
      <c r="AS168" s="6"/>
      <c r="AT168" s="7"/>
      <c r="AU168" s="8"/>
      <c r="AV168" s="9"/>
      <c r="AX168" s="10"/>
      <c r="AY168" s="11"/>
      <c r="AZ168" s="12"/>
      <c r="BA168" s="13"/>
      <c r="BC168" s="6"/>
      <c r="BD168" s="7"/>
      <c r="BE168" s="8"/>
      <c r="BF168" s="9"/>
      <c r="BG168" s="4"/>
      <c r="BH168" s="46">
        <f t="shared" si="10"/>
        <v>0</v>
      </c>
      <c r="BI168" s="47">
        <f t="shared" si="11"/>
        <v>0</v>
      </c>
    </row>
    <row r="169" spans="1:61" x14ac:dyDescent="0.25">
      <c r="A169" s="40" t="s">
        <v>385</v>
      </c>
      <c r="B169" s="41">
        <v>10</v>
      </c>
      <c r="C169" s="40" t="s">
        <v>66</v>
      </c>
      <c r="D169" t="s">
        <v>59</v>
      </c>
      <c r="E169" s="6"/>
      <c r="F169" s="7"/>
      <c r="G169" s="8">
        <v>4</v>
      </c>
      <c r="H169" s="9"/>
      <c r="J169" s="10"/>
      <c r="K169" s="11"/>
      <c r="L169" s="12"/>
      <c r="M169" s="13"/>
      <c r="O169" s="6"/>
      <c r="P169" s="7">
        <v>6</v>
      </c>
      <c r="Q169" s="8">
        <v>5</v>
      </c>
      <c r="R169" s="9"/>
      <c r="T169" s="10"/>
      <c r="U169" s="11"/>
      <c r="V169" s="12"/>
      <c r="W169" s="13"/>
      <c r="Y169" s="6"/>
      <c r="Z169" s="7"/>
      <c r="AA169" s="8"/>
      <c r="AB169" s="9"/>
      <c r="AD169" s="10"/>
      <c r="AE169" s="11"/>
      <c r="AF169" s="12"/>
      <c r="AG169" s="13"/>
      <c r="AI169" s="6"/>
      <c r="AJ169" s="7"/>
      <c r="AK169" s="8"/>
      <c r="AL169" s="9"/>
      <c r="AN169" s="10"/>
      <c r="AO169" s="11"/>
      <c r="AP169" s="12"/>
      <c r="AQ169" s="13"/>
      <c r="AS169" s="6"/>
      <c r="AT169" s="7"/>
      <c r="AU169" s="8"/>
      <c r="AV169" s="9"/>
      <c r="AX169" s="10"/>
      <c r="AY169" s="11"/>
      <c r="AZ169" s="12"/>
      <c r="BA169" s="13"/>
      <c r="BC169" s="6"/>
      <c r="BD169" s="7"/>
      <c r="BE169" s="8"/>
      <c r="BF169" s="9"/>
      <c r="BG169" s="4"/>
      <c r="BH169" s="46">
        <f t="shared" si="10"/>
        <v>15</v>
      </c>
      <c r="BI169" s="47">
        <f t="shared" si="11"/>
        <v>4.5</v>
      </c>
    </row>
    <row r="170" spans="1:61" x14ac:dyDescent="0.25">
      <c r="A170" s="40" t="s">
        <v>325</v>
      </c>
      <c r="B170" s="41">
        <v>3</v>
      </c>
      <c r="C170" s="40" t="s">
        <v>66</v>
      </c>
      <c r="D170" t="s">
        <v>56</v>
      </c>
      <c r="E170" s="6">
        <v>3</v>
      </c>
      <c r="F170" s="7"/>
      <c r="G170" s="8"/>
      <c r="H170" s="9"/>
      <c r="J170" s="10"/>
      <c r="K170" s="11"/>
      <c r="L170" s="12"/>
      <c r="M170" s="13">
        <v>6</v>
      </c>
      <c r="O170" s="6"/>
      <c r="P170" s="7"/>
      <c r="Q170" s="8"/>
      <c r="R170" s="9"/>
      <c r="T170" s="10"/>
      <c r="U170" s="11"/>
      <c r="V170" s="12"/>
      <c r="W170" s="13">
        <v>4</v>
      </c>
      <c r="Y170" s="6"/>
      <c r="Z170" s="7"/>
      <c r="AA170" s="8"/>
      <c r="AB170" s="9"/>
      <c r="AD170" s="10"/>
      <c r="AE170" s="11"/>
      <c r="AF170" s="12"/>
      <c r="AG170" s="13"/>
      <c r="AI170" s="6"/>
      <c r="AJ170" s="7"/>
      <c r="AK170" s="8"/>
      <c r="AL170" s="9">
        <v>4</v>
      </c>
      <c r="AN170" s="10"/>
      <c r="AO170" s="11"/>
      <c r="AP170" s="12"/>
      <c r="AQ170" s="13"/>
      <c r="AS170" s="6"/>
      <c r="AT170" s="7"/>
      <c r="AU170" s="8"/>
      <c r="AV170" s="9"/>
      <c r="AX170" s="10"/>
      <c r="AY170" s="11"/>
      <c r="AZ170" s="12"/>
      <c r="BA170" s="13"/>
      <c r="BC170" s="6"/>
      <c r="BD170" s="7"/>
      <c r="BE170" s="8"/>
      <c r="BF170" s="9"/>
      <c r="BG170" s="4"/>
      <c r="BH170" s="46">
        <f t="shared" si="10"/>
        <v>17</v>
      </c>
      <c r="BI170" s="47">
        <f t="shared" si="11"/>
        <v>5.0999999999999996</v>
      </c>
    </row>
    <row r="171" spans="1:61" x14ac:dyDescent="0.25">
      <c r="A171" s="40" t="s">
        <v>386</v>
      </c>
      <c r="B171" s="41">
        <v>3</v>
      </c>
      <c r="C171" s="40" t="s">
        <v>66</v>
      </c>
      <c r="D171" t="s">
        <v>56</v>
      </c>
      <c r="E171" s="6"/>
      <c r="F171" s="7">
        <v>1</v>
      </c>
      <c r="G171" s="8"/>
      <c r="H171" s="9"/>
      <c r="J171" s="10"/>
      <c r="K171" s="11"/>
      <c r="L171" s="12"/>
      <c r="M171" s="13"/>
      <c r="O171" s="6"/>
      <c r="P171" s="7"/>
      <c r="Q171" s="8"/>
      <c r="R171" s="9"/>
      <c r="T171" s="10"/>
      <c r="U171" s="11"/>
      <c r="V171" s="12"/>
      <c r="W171" s="13"/>
      <c r="Y171" s="6"/>
      <c r="Z171" s="7"/>
      <c r="AA171" s="8"/>
      <c r="AB171" s="9"/>
      <c r="AD171" s="10"/>
      <c r="AE171" s="11"/>
      <c r="AF171" s="12"/>
      <c r="AG171" s="13"/>
      <c r="AI171" s="6"/>
      <c r="AJ171" s="7"/>
      <c r="AK171" s="8"/>
      <c r="AL171" s="9"/>
      <c r="AN171" s="10"/>
      <c r="AO171" s="11"/>
      <c r="AP171" s="12"/>
      <c r="AQ171" s="13"/>
      <c r="AS171" s="6"/>
      <c r="AT171" s="7"/>
      <c r="AU171" s="8"/>
      <c r="AV171" s="9"/>
      <c r="AX171" s="10"/>
      <c r="AY171" s="11"/>
      <c r="AZ171" s="12"/>
      <c r="BA171" s="13"/>
      <c r="BC171" s="6"/>
      <c r="BD171" s="7"/>
      <c r="BE171" s="8"/>
      <c r="BF171" s="9"/>
      <c r="BG171" s="4"/>
      <c r="BH171" s="46">
        <f t="shared" si="10"/>
        <v>1</v>
      </c>
      <c r="BI171" s="47">
        <f t="shared" si="11"/>
        <v>0.3</v>
      </c>
    </row>
    <row r="172" spans="1:61" x14ac:dyDescent="0.25">
      <c r="A172" s="40" t="s">
        <v>323</v>
      </c>
      <c r="B172" s="41">
        <v>3</v>
      </c>
      <c r="C172" s="40" t="s">
        <v>66</v>
      </c>
      <c r="D172" t="s">
        <v>56</v>
      </c>
      <c r="E172" s="6"/>
      <c r="F172" s="7"/>
      <c r="G172" s="8"/>
      <c r="H172" s="9"/>
      <c r="J172" s="10"/>
      <c r="K172" s="11"/>
      <c r="L172" s="12"/>
      <c r="M172" s="13"/>
      <c r="O172" s="6"/>
      <c r="P172" s="7"/>
      <c r="Q172" s="8"/>
      <c r="R172" s="9"/>
      <c r="T172" s="10"/>
      <c r="U172" s="11"/>
      <c r="V172" s="12"/>
      <c r="W172" s="13"/>
      <c r="Y172" s="6"/>
      <c r="Z172" s="7"/>
      <c r="AA172" s="8"/>
      <c r="AB172" s="9"/>
      <c r="AD172" s="10"/>
      <c r="AE172" s="11"/>
      <c r="AF172" s="12"/>
      <c r="AG172" s="13"/>
      <c r="AI172" s="6"/>
      <c r="AJ172" s="7"/>
      <c r="AK172" s="8"/>
      <c r="AL172" s="9"/>
      <c r="AN172" s="10"/>
      <c r="AO172" s="11"/>
      <c r="AP172" s="12"/>
      <c r="AQ172" s="13"/>
      <c r="AS172" s="6"/>
      <c r="AT172" s="7"/>
      <c r="AU172" s="8"/>
      <c r="AV172" s="9"/>
      <c r="AX172" s="10"/>
      <c r="AY172" s="11"/>
      <c r="AZ172" s="12"/>
      <c r="BA172" s="13"/>
      <c r="BC172" s="6"/>
      <c r="BD172" s="7"/>
      <c r="BE172" s="8"/>
      <c r="BF172" s="9"/>
      <c r="BG172" s="4"/>
      <c r="BH172" s="46">
        <f t="shared" si="10"/>
        <v>0</v>
      </c>
      <c r="BI172" s="47">
        <f t="shared" si="11"/>
        <v>0</v>
      </c>
    </row>
    <row r="173" spans="1:61" x14ac:dyDescent="0.25">
      <c r="A173" s="40" t="s">
        <v>322</v>
      </c>
      <c r="B173" s="41">
        <v>3</v>
      </c>
      <c r="C173" s="40" t="s">
        <v>66</v>
      </c>
      <c r="D173" t="s">
        <v>56</v>
      </c>
      <c r="E173" s="6"/>
      <c r="F173" s="7"/>
      <c r="G173" s="8"/>
      <c r="H173" s="9"/>
      <c r="J173" s="10"/>
      <c r="K173" s="11"/>
      <c r="L173" s="12"/>
      <c r="M173" s="13"/>
      <c r="O173" s="6"/>
      <c r="P173" s="7"/>
      <c r="Q173" s="8"/>
      <c r="R173" s="9"/>
      <c r="T173" s="10"/>
      <c r="U173" s="11"/>
      <c r="V173" s="12"/>
      <c r="W173" s="13"/>
      <c r="Y173" s="6"/>
      <c r="Z173" s="7"/>
      <c r="AA173" s="8"/>
      <c r="AB173" s="9"/>
      <c r="AD173" s="10"/>
      <c r="AE173" s="11"/>
      <c r="AF173" s="12"/>
      <c r="AG173" s="13"/>
      <c r="AI173" s="6"/>
      <c r="AJ173" s="7"/>
      <c r="AK173" s="8"/>
      <c r="AL173" s="9"/>
      <c r="AN173" s="10"/>
      <c r="AO173" s="11"/>
      <c r="AP173" s="12"/>
      <c r="AQ173" s="13"/>
      <c r="AS173" s="6"/>
      <c r="AT173" s="7"/>
      <c r="AU173" s="8"/>
      <c r="AV173" s="9"/>
      <c r="AX173" s="10"/>
      <c r="AY173" s="11"/>
      <c r="AZ173" s="12"/>
      <c r="BA173" s="13"/>
      <c r="BC173" s="6"/>
      <c r="BD173" s="7"/>
      <c r="BE173" s="8"/>
      <c r="BF173" s="9"/>
      <c r="BG173" s="4"/>
      <c r="BH173" s="46">
        <f t="shared" si="10"/>
        <v>0</v>
      </c>
      <c r="BI173" s="47">
        <f t="shared" si="11"/>
        <v>0</v>
      </c>
    </row>
    <row r="174" spans="1:61" x14ac:dyDescent="0.25">
      <c r="A174" s="40" t="s">
        <v>321</v>
      </c>
      <c r="B174" s="41">
        <v>3</v>
      </c>
      <c r="C174" s="40" t="s">
        <v>66</v>
      </c>
      <c r="D174" t="s">
        <v>56</v>
      </c>
      <c r="E174" s="6"/>
      <c r="F174" s="7">
        <v>4</v>
      </c>
      <c r="G174" s="8"/>
      <c r="H174" s="9"/>
      <c r="J174" s="10"/>
      <c r="K174" s="11"/>
      <c r="L174" s="12">
        <v>6</v>
      </c>
      <c r="M174" s="13"/>
      <c r="O174" s="6"/>
      <c r="P174" s="7">
        <v>3</v>
      </c>
      <c r="Q174" s="8"/>
      <c r="R174" s="9"/>
      <c r="T174" s="10"/>
      <c r="U174" s="11"/>
      <c r="V174" s="12"/>
      <c r="W174" s="13"/>
      <c r="Y174" s="6"/>
      <c r="Z174" s="7"/>
      <c r="AA174" s="8"/>
      <c r="AB174" s="9"/>
      <c r="AD174" s="10"/>
      <c r="AE174" s="11"/>
      <c r="AF174" s="12"/>
      <c r="AG174" s="13"/>
      <c r="AI174" s="6"/>
      <c r="AJ174" s="7"/>
      <c r="AK174" s="8"/>
      <c r="AL174" s="9"/>
      <c r="AN174" s="10"/>
      <c r="AO174" s="11"/>
      <c r="AP174" s="12"/>
      <c r="AQ174" s="13"/>
      <c r="AS174" s="6"/>
      <c r="AT174" s="7"/>
      <c r="AU174" s="8"/>
      <c r="AV174" s="9"/>
      <c r="AX174" s="10"/>
      <c r="AY174" s="11"/>
      <c r="AZ174" s="12"/>
      <c r="BA174" s="13"/>
      <c r="BC174" s="6"/>
      <c r="BD174" s="7"/>
      <c r="BE174" s="8"/>
      <c r="BF174" s="9"/>
      <c r="BG174" s="4"/>
      <c r="BH174" s="46">
        <f t="shared" ref="BH174:BH220" si="24">SUM(E174:BF174)</f>
        <v>13</v>
      </c>
      <c r="BI174" s="47">
        <f t="shared" ref="BI174:BI241" si="25">(SUM(E174:BG174)*$D$2)</f>
        <v>3.9</v>
      </c>
    </row>
    <row r="175" spans="1:61" x14ac:dyDescent="0.25">
      <c r="A175" s="40" t="s">
        <v>387</v>
      </c>
      <c r="B175" s="41">
        <v>3</v>
      </c>
      <c r="C175" s="40" t="s">
        <v>66</v>
      </c>
      <c r="D175" t="s">
        <v>56</v>
      </c>
      <c r="E175" s="6"/>
      <c r="F175" s="7"/>
      <c r="G175" s="8"/>
      <c r="H175" s="9"/>
      <c r="J175" s="10"/>
      <c r="K175" s="11"/>
      <c r="L175" s="12"/>
      <c r="M175" s="13"/>
      <c r="O175" s="6"/>
      <c r="P175" s="7"/>
      <c r="Q175" s="8"/>
      <c r="R175" s="9"/>
      <c r="T175" s="10"/>
      <c r="U175" s="11"/>
      <c r="V175" s="12"/>
      <c r="W175" s="13"/>
      <c r="Y175" s="6"/>
      <c r="Z175" s="7"/>
      <c r="AA175" s="8"/>
      <c r="AB175" s="9"/>
      <c r="AD175" s="10"/>
      <c r="AE175" s="11"/>
      <c r="AF175" s="12"/>
      <c r="AG175" s="13"/>
      <c r="AI175" s="6"/>
      <c r="AJ175" s="7"/>
      <c r="AK175" s="8"/>
      <c r="AL175" s="9"/>
      <c r="AN175" s="10"/>
      <c r="AO175" s="11"/>
      <c r="AP175" s="12"/>
      <c r="AQ175" s="13"/>
      <c r="AS175" s="6"/>
      <c r="AT175" s="7"/>
      <c r="AU175" s="8"/>
      <c r="AV175" s="9"/>
      <c r="AX175" s="10"/>
      <c r="AY175" s="11"/>
      <c r="AZ175" s="12"/>
      <c r="BA175" s="13"/>
      <c r="BC175" s="6"/>
      <c r="BD175" s="7"/>
      <c r="BE175" s="8"/>
      <c r="BF175" s="9"/>
      <c r="BG175" s="4"/>
      <c r="BH175" s="46">
        <f t="shared" ref="BH175" si="26">SUM(E175:BF175)</f>
        <v>0</v>
      </c>
      <c r="BI175" s="47">
        <f t="shared" ref="BI175" si="27">(SUM(E175:BG175)*$D$2)</f>
        <v>0</v>
      </c>
    </row>
    <row r="176" spans="1:61" x14ac:dyDescent="0.25">
      <c r="A176" s="40" t="s">
        <v>422</v>
      </c>
      <c r="B176" s="41">
        <v>3</v>
      </c>
      <c r="C176" s="40" t="s">
        <v>66</v>
      </c>
      <c r="D176" t="s">
        <v>56</v>
      </c>
      <c r="E176" s="6"/>
      <c r="F176" s="7"/>
      <c r="G176" s="8"/>
      <c r="H176" s="9"/>
      <c r="J176" s="10"/>
      <c r="K176" s="11"/>
      <c r="L176" s="12"/>
      <c r="M176" s="13"/>
      <c r="O176" s="6"/>
      <c r="P176" s="7"/>
      <c r="Q176" s="8"/>
      <c r="R176" s="9"/>
      <c r="T176" s="10"/>
      <c r="U176" s="11"/>
      <c r="V176" s="12"/>
      <c r="W176" s="13"/>
      <c r="Y176" s="6"/>
      <c r="Z176" s="7"/>
      <c r="AA176" s="8"/>
      <c r="AB176" s="9"/>
      <c r="AD176" s="10"/>
      <c r="AE176" s="11"/>
      <c r="AF176" s="12"/>
      <c r="AG176" s="13"/>
      <c r="AI176" s="6"/>
      <c r="AJ176" s="7"/>
      <c r="AK176" s="8"/>
      <c r="AL176" s="9"/>
      <c r="AN176" s="10"/>
      <c r="AO176" s="11"/>
      <c r="AP176" s="12"/>
      <c r="AQ176" s="13"/>
      <c r="AS176" s="6"/>
      <c r="AT176" s="7"/>
      <c r="AU176" s="8"/>
      <c r="AV176" s="9"/>
      <c r="AX176" s="10"/>
      <c r="AY176" s="11"/>
      <c r="AZ176" s="12"/>
      <c r="BA176" s="13"/>
      <c r="BC176" s="6"/>
      <c r="BD176" s="7"/>
      <c r="BE176" s="8"/>
      <c r="BF176" s="9"/>
      <c r="BG176" s="4"/>
      <c r="BH176" s="46">
        <f t="shared" si="24"/>
        <v>0</v>
      </c>
      <c r="BI176" s="47">
        <f t="shared" si="25"/>
        <v>0</v>
      </c>
    </row>
    <row r="177" spans="1:61" x14ac:dyDescent="0.25">
      <c r="A177" s="40" t="s">
        <v>319</v>
      </c>
      <c r="B177" s="41">
        <v>4</v>
      </c>
      <c r="C177" s="40" t="s">
        <v>66</v>
      </c>
      <c r="D177" t="s">
        <v>58</v>
      </c>
      <c r="E177" s="6"/>
      <c r="F177" s="7"/>
      <c r="G177" s="8"/>
      <c r="H177" s="9"/>
      <c r="J177" s="10"/>
      <c r="K177" s="11"/>
      <c r="L177" s="12"/>
      <c r="M177" s="13"/>
      <c r="O177" s="6"/>
      <c r="P177" s="7"/>
      <c r="Q177" s="8"/>
      <c r="R177" s="9"/>
      <c r="T177" s="10"/>
      <c r="U177" s="11"/>
      <c r="V177" s="12"/>
      <c r="W177" s="13"/>
      <c r="Y177" s="6"/>
      <c r="Z177" s="7"/>
      <c r="AA177" s="8"/>
      <c r="AB177" s="9"/>
      <c r="AD177" s="10"/>
      <c r="AE177" s="11"/>
      <c r="AF177" s="12"/>
      <c r="AG177" s="13"/>
      <c r="AI177" s="6"/>
      <c r="AJ177" s="7"/>
      <c r="AK177" s="8"/>
      <c r="AL177" s="9"/>
      <c r="AN177" s="10"/>
      <c r="AO177" s="11"/>
      <c r="AP177" s="12"/>
      <c r="AQ177" s="13"/>
      <c r="AS177" s="6"/>
      <c r="AT177" s="7"/>
      <c r="AU177" s="8"/>
      <c r="AV177" s="9"/>
      <c r="AX177" s="10"/>
      <c r="AY177" s="11"/>
      <c r="AZ177" s="12"/>
      <c r="BA177" s="13"/>
      <c r="BC177" s="6"/>
      <c r="BD177" s="7"/>
      <c r="BE177" s="8"/>
      <c r="BF177" s="9"/>
      <c r="BG177" s="4"/>
      <c r="BH177" s="46">
        <f t="shared" si="24"/>
        <v>0</v>
      </c>
      <c r="BI177" s="47">
        <f t="shared" si="25"/>
        <v>0</v>
      </c>
    </row>
    <row r="178" spans="1:61" x14ac:dyDescent="0.25">
      <c r="A178" s="40" t="s">
        <v>318</v>
      </c>
      <c r="B178" s="41">
        <v>4</v>
      </c>
      <c r="C178" s="40" t="s">
        <v>66</v>
      </c>
      <c r="D178" t="s">
        <v>58</v>
      </c>
      <c r="E178" s="6"/>
      <c r="F178" s="7"/>
      <c r="G178" s="8"/>
      <c r="H178" s="9"/>
      <c r="J178" s="10"/>
      <c r="K178" s="11"/>
      <c r="L178" s="12"/>
      <c r="M178" s="13"/>
      <c r="O178" s="6"/>
      <c r="P178" s="7"/>
      <c r="Q178" s="8"/>
      <c r="R178" s="9"/>
      <c r="T178" s="10"/>
      <c r="U178" s="11"/>
      <c r="V178" s="12"/>
      <c r="W178" s="13"/>
      <c r="Y178" s="6"/>
      <c r="Z178" s="7"/>
      <c r="AA178" s="8"/>
      <c r="AB178" s="9"/>
      <c r="AD178" s="10"/>
      <c r="AE178" s="11"/>
      <c r="AF178" s="12"/>
      <c r="AG178" s="13"/>
      <c r="AI178" s="6"/>
      <c r="AJ178" s="7"/>
      <c r="AK178" s="8"/>
      <c r="AL178" s="9"/>
      <c r="AN178" s="10"/>
      <c r="AO178" s="11"/>
      <c r="AP178" s="12"/>
      <c r="AQ178" s="13"/>
      <c r="AS178" s="6"/>
      <c r="AT178" s="7"/>
      <c r="AU178" s="8"/>
      <c r="AV178" s="9"/>
      <c r="AX178" s="10"/>
      <c r="AY178" s="11"/>
      <c r="AZ178" s="12"/>
      <c r="BA178" s="13"/>
      <c r="BC178" s="6"/>
      <c r="BD178" s="7"/>
      <c r="BE178" s="8"/>
      <c r="BF178" s="9"/>
      <c r="BG178" s="4"/>
      <c r="BH178" s="46">
        <f t="shared" si="24"/>
        <v>0</v>
      </c>
      <c r="BI178" s="47">
        <f t="shared" si="25"/>
        <v>0</v>
      </c>
    </row>
    <row r="179" spans="1:61" x14ac:dyDescent="0.25">
      <c r="A179" s="40" t="s">
        <v>317</v>
      </c>
      <c r="B179" s="41">
        <v>5</v>
      </c>
      <c r="C179" s="40" t="s">
        <v>66</v>
      </c>
      <c r="D179" t="s">
        <v>58</v>
      </c>
      <c r="E179" s="6"/>
      <c r="F179" s="7"/>
      <c r="G179" s="8"/>
      <c r="H179" s="9"/>
      <c r="J179" s="10"/>
      <c r="K179" s="11"/>
      <c r="L179" s="12"/>
      <c r="M179" s="13"/>
      <c r="O179" s="6"/>
      <c r="P179" s="7"/>
      <c r="Q179" s="8"/>
      <c r="R179" s="9"/>
      <c r="T179" s="10"/>
      <c r="U179" s="11"/>
      <c r="V179" s="12"/>
      <c r="W179" s="13"/>
      <c r="Y179" s="6"/>
      <c r="Z179" s="7"/>
      <c r="AA179" s="8"/>
      <c r="AB179" s="9"/>
      <c r="AD179" s="10"/>
      <c r="AE179" s="11"/>
      <c r="AF179" s="12"/>
      <c r="AG179" s="13"/>
      <c r="AI179" s="6"/>
      <c r="AJ179" s="7"/>
      <c r="AK179" s="8"/>
      <c r="AL179" s="9"/>
      <c r="AN179" s="10"/>
      <c r="AO179" s="11"/>
      <c r="AP179" s="12"/>
      <c r="AQ179" s="13"/>
      <c r="AS179" s="6"/>
      <c r="AT179" s="7"/>
      <c r="AU179" s="8"/>
      <c r="AV179" s="9"/>
      <c r="AX179" s="10"/>
      <c r="AY179" s="11"/>
      <c r="AZ179" s="12"/>
      <c r="BA179" s="13"/>
      <c r="BC179" s="6"/>
      <c r="BD179" s="7"/>
      <c r="BE179" s="8"/>
      <c r="BF179" s="9"/>
      <c r="BG179" s="4"/>
      <c r="BH179" s="46">
        <f t="shared" si="24"/>
        <v>0</v>
      </c>
      <c r="BI179" s="47">
        <f t="shared" si="25"/>
        <v>0</v>
      </c>
    </row>
    <row r="180" spans="1:61" x14ac:dyDescent="0.25">
      <c r="A180" s="40" t="s">
        <v>316</v>
      </c>
      <c r="B180" s="41">
        <v>5</v>
      </c>
      <c r="C180" s="40" t="s">
        <v>66</v>
      </c>
      <c r="D180" t="s">
        <v>58</v>
      </c>
      <c r="E180" s="6"/>
      <c r="F180" s="7">
        <v>4</v>
      </c>
      <c r="G180" s="8"/>
      <c r="H180" s="9"/>
      <c r="J180" s="10"/>
      <c r="K180" s="11">
        <v>6</v>
      </c>
      <c r="L180" s="12"/>
      <c r="M180" s="13"/>
      <c r="O180" s="6"/>
      <c r="P180" s="7"/>
      <c r="Q180" s="8"/>
      <c r="R180" s="9"/>
      <c r="T180" s="10"/>
      <c r="U180" s="11"/>
      <c r="V180" s="12"/>
      <c r="W180" s="13"/>
      <c r="Y180" s="6"/>
      <c r="Z180" s="7"/>
      <c r="AA180" s="8"/>
      <c r="AB180" s="9"/>
      <c r="AD180" s="10"/>
      <c r="AE180" s="11"/>
      <c r="AF180" s="12"/>
      <c r="AG180" s="13"/>
      <c r="AI180" s="6"/>
      <c r="AJ180" s="7"/>
      <c r="AK180" s="8"/>
      <c r="AL180" s="9">
        <v>5</v>
      </c>
      <c r="AN180" s="10"/>
      <c r="AO180" s="11"/>
      <c r="AP180" s="12"/>
      <c r="AQ180" s="13"/>
      <c r="AS180" s="6"/>
      <c r="AT180" s="7"/>
      <c r="AU180" s="8"/>
      <c r="AV180" s="9"/>
      <c r="AX180" s="10"/>
      <c r="AY180" s="11"/>
      <c r="AZ180" s="12"/>
      <c r="BA180" s="13"/>
      <c r="BC180" s="6"/>
      <c r="BD180" s="7"/>
      <c r="BE180" s="8"/>
      <c r="BF180" s="9"/>
      <c r="BG180" s="4"/>
      <c r="BH180" s="46">
        <f t="shared" si="24"/>
        <v>15</v>
      </c>
      <c r="BI180" s="47">
        <f t="shared" si="25"/>
        <v>4.5</v>
      </c>
    </row>
    <row r="181" spans="1:61" x14ac:dyDescent="0.25">
      <c r="A181" s="40" t="s">
        <v>424</v>
      </c>
      <c r="B181" s="41">
        <v>5</v>
      </c>
      <c r="C181" s="40" t="s">
        <v>66</v>
      </c>
      <c r="D181" t="s">
        <v>58</v>
      </c>
      <c r="E181" s="6"/>
      <c r="F181" s="7"/>
      <c r="G181" s="8"/>
      <c r="H181" s="9"/>
      <c r="J181" s="10"/>
      <c r="K181" s="11"/>
      <c r="L181" s="12"/>
      <c r="M181" s="13"/>
      <c r="O181" s="6"/>
      <c r="P181" s="7"/>
      <c r="Q181" s="8"/>
      <c r="R181" s="9"/>
      <c r="T181" s="10"/>
      <c r="U181" s="11"/>
      <c r="V181" s="12"/>
      <c r="W181" s="13"/>
      <c r="Y181" s="6"/>
      <c r="Z181" s="7"/>
      <c r="AA181" s="8"/>
      <c r="AB181" s="9"/>
      <c r="AD181" s="10"/>
      <c r="AE181" s="11"/>
      <c r="AF181" s="12"/>
      <c r="AG181" s="13"/>
      <c r="AI181" s="6"/>
      <c r="AJ181" s="7"/>
      <c r="AK181" s="8"/>
      <c r="AL181" s="9"/>
      <c r="AN181" s="10"/>
      <c r="AO181" s="11"/>
      <c r="AP181" s="12"/>
      <c r="AQ181" s="13"/>
      <c r="AS181" s="6"/>
      <c r="AT181" s="7"/>
      <c r="AU181" s="8"/>
      <c r="AV181" s="9"/>
      <c r="AX181" s="10"/>
      <c r="AY181" s="11"/>
      <c r="AZ181" s="12"/>
      <c r="BA181" s="13"/>
      <c r="BC181" s="6"/>
      <c r="BD181" s="7"/>
      <c r="BE181" s="8"/>
      <c r="BF181" s="9"/>
      <c r="BG181" s="4"/>
      <c r="BH181" s="46">
        <f t="shared" si="24"/>
        <v>0</v>
      </c>
      <c r="BI181" s="47">
        <f t="shared" si="25"/>
        <v>0</v>
      </c>
    </row>
    <row r="182" spans="1:61" x14ac:dyDescent="0.25">
      <c r="A182" s="40" t="s">
        <v>315</v>
      </c>
      <c r="B182" s="41">
        <v>4</v>
      </c>
      <c r="C182" s="40" t="s">
        <v>66</v>
      </c>
      <c r="D182" t="s">
        <v>55</v>
      </c>
      <c r="E182" s="6"/>
      <c r="F182" s="7"/>
      <c r="G182" s="8"/>
      <c r="H182" s="9"/>
      <c r="J182" s="10"/>
      <c r="K182" s="11"/>
      <c r="L182" s="12"/>
      <c r="M182" s="13"/>
      <c r="O182" s="6"/>
      <c r="P182" s="7"/>
      <c r="Q182" s="8"/>
      <c r="R182" s="9"/>
      <c r="T182" s="10"/>
      <c r="U182" s="11"/>
      <c r="V182" s="12"/>
      <c r="W182" s="13"/>
      <c r="Y182" s="6"/>
      <c r="Z182" s="7"/>
      <c r="AA182" s="8"/>
      <c r="AB182" s="9"/>
      <c r="AD182" s="10"/>
      <c r="AE182" s="11"/>
      <c r="AF182" s="12"/>
      <c r="AG182" s="13"/>
      <c r="AI182" s="6"/>
      <c r="AJ182" s="7"/>
      <c r="AK182" s="8"/>
      <c r="AL182" s="9"/>
      <c r="AN182" s="10"/>
      <c r="AO182" s="11"/>
      <c r="AP182" s="12"/>
      <c r="AQ182" s="13"/>
      <c r="AS182" s="6"/>
      <c r="AT182" s="7"/>
      <c r="AU182" s="8"/>
      <c r="AV182" s="9"/>
      <c r="AX182" s="10"/>
      <c r="AY182" s="11"/>
      <c r="AZ182" s="12"/>
      <c r="BA182" s="13"/>
      <c r="BC182" s="6"/>
      <c r="BD182" s="7"/>
      <c r="BE182" s="8"/>
      <c r="BF182" s="9"/>
      <c r="BG182" s="4"/>
      <c r="BH182" s="46">
        <f t="shared" si="24"/>
        <v>0</v>
      </c>
      <c r="BI182" s="47">
        <f t="shared" si="25"/>
        <v>0</v>
      </c>
    </row>
    <row r="183" spans="1:61" x14ac:dyDescent="0.25">
      <c r="A183" s="40" t="s">
        <v>314</v>
      </c>
      <c r="B183" s="41">
        <v>4</v>
      </c>
      <c r="C183" s="40" t="s">
        <v>66</v>
      </c>
      <c r="D183" t="s">
        <v>55</v>
      </c>
      <c r="E183" s="6"/>
      <c r="F183" s="7">
        <v>1</v>
      </c>
      <c r="G183" s="8"/>
      <c r="H183" s="9"/>
      <c r="J183" s="10"/>
      <c r="K183" s="11"/>
      <c r="L183" s="12"/>
      <c r="M183" s="13"/>
      <c r="O183" s="6"/>
      <c r="P183" s="7"/>
      <c r="Q183" s="8"/>
      <c r="R183" s="9"/>
      <c r="T183" s="10"/>
      <c r="U183" s="11"/>
      <c r="V183" s="12"/>
      <c r="W183" s="13"/>
      <c r="Y183" s="6"/>
      <c r="Z183" s="7"/>
      <c r="AA183" s="8"/>
      <c r="AB183" s="9"/>
      <c r="AD183" s="10"/>
      <c r="AE183" s="11"/>
      <c r="AF183" s="12"/>
      <c r="AG183" s="13"/>
      <c r="AI183" s="6"/>
      <c r="AJ183" s="7"/>
      <c r="AK183" s="8"/>
      <c r="AL183" s="9"/>
      <c r="AN183" s="10"/>
      <c r="AO183" s="11"/>
      <c r="AP183" s="12"/>
      <c r="AQ183" s="13"/>
      <c r="AS183" s="6"/>
      <c r="AT183" s="7"/>
      <c r="AU183" s="8"/>
      <c r="AV183" s="9"/>
      <c r="AX183" s="10"/>
      <c r="AY183" s="11"/>
      <c r="AZ183" s="12"/>
      <c r="BA183" s="13"/>
      <c r="BC183" s="6"/>
      <c r="BD183" s="7"/>
      <c r="BE183" s="8"/>
      <c r="BF183" s="9"/>
      <c r="BG183" s="4"/>
      <c r="BH183" s="46">
        <f t="shared" si="24"/>
        <v>1</v>
      </c>
      <c r="BI183" s="47">
        <f t="shared" si="25"/>
        <v>0.3</v>
      </c>
    </row>
    <row r="184" spans="1:61" x14ac:dyDescent="0.25">
      <c r="A184" s="40" t="s">
        <v>313</v>
      </c>
      <c r="B184" s="41">
        <v>4</v>
      </c>
      <c r="C184" s="40" t="s">
        <v>66</v>
      </c>
      <c r="D184" t="s">
        <v>55</v>
      </c>
      <c r="E184" s="6"/>
      <c r="F184" s="7">
        <v>2</v>
      </c>
      <c r="G184" s="8"/>
      <c r="H184" s="9"/>
      <c r="J184" s="10"/>
      <c r="K184" s="11"/>
      <c r="L184" s="12"/>
      <c r="M184" s="13"/>
      <c r="O184" s="6"/>
      <c r="P184" s="7"/>
      <c r="Q184" s="8"/>
      <c r="R184" s="9"/>
      <c r="T184" s="10"/>
      <c r="U184" s="11"/>
      <c r="V184" s="12"/>
      <c r="W184" s="13"/>
      <c r="Y184" s="6"/>
      <c r="Z184" s="7"/>
      <c r="AA184" s="8"/>
      <c r="AB184" s="9"/>
      <c r="AD184" s="10"/>
      <c r="AE184" s="11"/>
      <c r="AF184" s="12"/>
      <c r="AG184" s="13"/>
      <c r="AI184" s="6"/>
      <c r="AJ184" s="7"/>
      <c r="AK184" s="8"/>
      <c r="AL184" s="9"/>
      <c r="AN184" s="10"/>
      <c r="AO184" s="11"/>
      <c r="AP184" s="12"/>
      <c r="AQ184" s="13"/>
      <c r="AS184" s="6"/>
      <c r="AT184" s="7"/>
      <c r="AU184" s="8"/>
      <c r="AV184" s="9"/>
      <c r="AX184" s="10"/>
      <c r="AY184" s="11"/>
      <c r="AZ184" s="12"/>
      <c r="BA184" s="13"/>
      <c r="BC184" s="6"/>
      <c r="BD184" s="7"/>
      <c r="BE184" s="8"/>
      <c r="BF184" s="9"/>
      <c r="BG184" s="4"/>
      <c r="BH184" s="46">
        <f t="shared" si="24"/>
        <v>2</v>
      </c>
      <c r="BI184" s="47">
        <f t="shared" si="25"/>
        <v>0.6</v>
      </c>
    </row>
    <row r="185" spans="1:61" x14ac:dyDescent="0.25">
      <c r="A185" s="40" t="s">
        <v>388</v>
      </c>
      <c r="B185" s="41">
        <v>4</v>
      </c>
      <c r="C185" s="40" t="s">
        <v>66</v>
      </c>
      <c r="D185" t="s">
        <v>55</v>
      </c>
      <c r="E185" s="6"/>
      <c r="F185" s="7">
        <v>2</v>
      </c>
      <c r="G185" s="8"/>
      <c r="H185" s="9"/>
      <c r="J185" s="10"/>
      <c r="K185" s="11"/>
      <c r="L185" s="12"/>
      <c r="M185" s="13"/>
      <c r="O185" s="6"/>
      <c r="P185" s="7"/>
      <c r="Q185" s="8"/>
      <c r="R185" s="9"/>
      <c r="T185" s="10"/>
      <c r="U185" s="11"/>
      <c r="V185" s="12"/>
      <c r="W185" s="13"/>
      <c r="Y185" s="6"/>
      <c r="Z185" s="7"/>
      <c r="AA185" s="8"/>
      <c r="AB185" s="9"/>
      <c r="AD185" s="10"/>
      <c r="AE185" s="11"/>
      <c r="AF185" s="12"/>
      <c r="AG185" s="13"/>
      <c r="AI185" s="6"/>
      <c r="AJ185" s="7"/>
      <c r="AK185" s="8"/>
      <c r="AL185" s="9"/>
      <c r="AN185" s="10"/>
      <c r="AO185" s="11"/>
      <c r="AP185" s="12"/>
      <c r="AQ185" s="13"/>
      <c r="AS185" s="6"/>
      <c r="AT185" s="7"/>
      <c r="AU185" s="8"/>
      <c r="AV185" s="9"/>
      <c r="AX185" s="10"/>
      <c r="AY185" s="11"/>
      <c r="AZ185" s="12"/>
      <c r="BA185" s="13"/>
      <c r="BC185" s="6"/>
      <c r="BD185" s="7"/>
      <c r="BE185" s="8"/>
      <c r="BF185" s="9"/>
      <c r="BG185" s="4"/>
      <c r="BH185" s="46">
        <f t="shared" si="24"/>
        <v>2</v>
      </c>
      <c r="BI185" s="47">
        <f t="shared" si="25"/>
        <v>0.6</v>
      </c>
    </row>
    <row r="186" spans="1:61" x14ac:dyDescent="0.25">
      <c r="A186" s="40" t="s">
        <v>311</v>
      </c>
      <c r="B186" s="41">
        <v>4</v>
      </c>
      <c r="C186" s="40" t="s">
        <v>66</v>
      </c>
      <c r="D186" t="s">
        <v>55</v>
      </c>
      <c r="E186" s="6"/>
      <c r="F186" s="7"/>
      <c r="G186" s="8"/>
      <c r="H186" s="9"/>
      <c r="J186" s="10"/>
      <c r="K186" s="11"/>
      <c r="L186" s="12"/>
      <c r="M186" s="13"/>
      <c r="O186" s="6"/>
      <c r="P186" s="7"/>
      <c r="Q186" s="8"/>
      <c r="R186" s="9"/>
      <c r="T186" s="10"/>
      <c r="U186" s="11"/>
      <c r="V186" s="12"/>
      <c r="W186" s="13"/>
      <c r="Y186" s="6"/>
      <c r="Z186" s="7"/>
      <c r="AA186" s="8"/>
      <c r="AB186" s="9"/>
      <c r="AD186" s="10"/>
      <c r="AE186" s="11"/>
      <c r="AF186" s="12"/>
      <c r="AG186" s="13"/>
      <c r="AI186" s="6"/>
      <c r="AJ186" s="7"/>
      <c r="AK186" s="8"/>
      <c r="AL186" s="9"/>
      <c r="AN186" s="10"/>
      <c r="AO186" s="11"/>
      <c r="AP186" s="12"/>
      <c r="AQ186" s="13"/>
      <c r="AS186" s="6"/>
      <c r="AT186" s="7"/>
      <c r="AU186" s="8"/>
      <c r="AV186" s="9"/>
      <c r="AX186" s="10"/>
      <c r="AY186" s="11"/>
      <c r="AZ186" s="12"/>
      <c r="BA186" s="13"/>
      <c r="BC186" s="6"/>
      <c r="BD186" s="7"/>
      <c r="BE186" s="8"/>
      <c r="BF186" s="9"/>
      <c r="BG186" s="4"/>
      <c r="BH186" s="46">
        <f t="shared" si="24"/>
        <v>0</v>
      </c>
      <c r="BI186" s="47">
        <f t="shared" si="25"/>
        <v>0</v>
      </c>
    </row>
    <row r="187" spans="1:61" x14ac:dyDescent="0.25">
      <c r="A187" s="40" t="s">
        <v>310</v>
      </c>
      <c r="B187" s="41">
        <v>4</v>
      </c>
      <c r="C187" s="40" t="s">
        <v>66</v>
      </c>
      <c r="D187" t="s">
        <v>55</v>
      </c>
      <c r="E187" s="6"/>
      <c r="F187" s="7"/>
      <c r="G187" s="8"/>
      <c r="H187" s="9"/>
      <c r="J187" s="10"/>
      <c r="K187" s="11"/>
      <c r="L187" s="12"/>
      <c r="M187" s="13"/>
      <c r="O187" s="6"/>
      <c r="P187" s="7"/>
      <c r="Q187" s="8"/>
      <c r="R187" s="9"/>
      <c r="T187" s="10"/>
      <c r="U187" s="11"/>
      <c r="V187" s="12"/>
      <c r="W187" s="13"/>
      <c r="Y187" s="6"/>
      <c r="Z187" s="7"/>
      <c r="AA187" s="8"/>
      <c r="AB187" s="9"/>
      <c r="AD187" s="10"/>
      <c r="AE187" s="11"/>
      <c r="AF187" s="12"/>
      <c r="AG187" s="13"/>
      <c r="AI187" s="6"/>
      <c r="AJ187" s="7"/>
      <c r="AK187" s="8"/>
      <c r="AL187" s="9"/>
      <c r="AN187" s="10"/>
      <c r="AO187" s="11"/>
      <c r="AP187" s="12"/>
      <c r="AQ187" s="13"/>
      <c r="AS187" s="6"/>
      <c r="AT187" s="7"/>
      <c r="AU187" s="8"/>
      <c r="AV187" s="9"/>
      <c r="AX187" s="10"/>
      <c r="AY187" s="11"/>
      <c r="AZ187" s="12"/>
      <c r="BA187" s="13"/>
      <c r="BC187" s="6"/>
      <c r="BD187" s="7"/>
      <c r="BE187" s="8"/>
      <c r="BF187" s="9"/>
      <c r="BG187" s="4"/>
      <c r="BH187" s="46">
        <f t="shared" si="24"/>
        <v>0</v>
      </c>
      <c r="BI187" s="47">
        <f t="shared" si="25"/>
        <v>0</v>
      </c>
    </row>
    <row r="188" spans="1:61" x14ac:dyDescent="0.25">
      <c r="A188" s="40" t="s">
        <v>309</v>
      </c>
      <c r="B188" s="41">
        <v>4</v>
      </c>
      <c r="C188" s="40" t="s">
        <v>66</v>
      </c>
      <c r="D188" t="s">
        <v>55</v>
      </c>
      <c r="E188" s="6"/>
      <c r="F188" s="7">
        <v>2</v>
      </c>
      <c r="G188" s="8"/>
      <c r="H188" s="9"/>
      <c r="J188" s="10"/>
      <c r="K188" s="11"/>
      <c r="L188" s="12"/>
      <c r="M188" s="13"/>
      <c r="O188" s="6"/>
      <c r="P188" s="7"/>
      <c r="Q188" s="8"/>
      <c r="R188" s="9"/>
      <c r="T188" s="10"/>
      <c r="U188" s="11"/>
      <c r="V188" s="12"/>
      <c r="W188" s="13"/>
      <c r="Y188" s="6"/>
      <c r="Z188" s="7"/>
      <c r="AA188" s="8"/>
      <c r="AB188" s="9"/>
      <c r="AD188" s="10"/>
      <c r="AE188" s="11"/>
      <c r="AF188" s="12"/>
      <c r="AG188" s="13"/>
      <c r="AI188" s="6"/>
      <c r="AJ188" s="7"/>
      <c r="AK188" s="8"/>
      <c r="AL188" s="9"/>
      <c r="AN188" s="10"/>
      <c r="AO188" s="11"/>
      <c r="AP188" s="12"/>
      <c r="AQ188" s="13"/>
      <c r="AS188" s="6"/>
      <c r="AT188" s="7"/>
      <c r="AU188" s="8"/>
      <c r="AV188" s="9"/>
      <c r="AX188" s="10"/>
      <c r="AY188" s="11"/>
      <c r="AZ188" s="12"/>
      <c r="BA188" s="13"/>
      <c r="BC188" s="6"/>
      <c r="BD188" s="7"/>
      <c r="BE188" s="8"/>
      <c r="BF188" s="9"/>
      <c r="BG188" s="4"/>
      <c r="BH188" s="46">
        <f t="shared" si="24"/>
        <v>2</v>
      </c>
      <c r="BI188" s="47">
        <f t="shared" si="25"/>
        <v>0.6</v>
      </c>
    </row>
    <row r="189" spans="1:61" x14ac:dyDescent="0.25">
      <c r="A189" s="40" t="s">
        <v>389</v>
      </c>
      <c r="B189" s="41">
        <v>4</v>
      </c>
      <c r="C189" s="40" t="s">
        <v>66</v>
      </c>
      <c r="D189" t="s">
        <v>55</v>
      </c>
      <c r="E189" s="6"/>
      <c r="F189" s="7"/>
      <c r="G189" s="8"/>
      <c r="H189" s="9"/>
      <c r="J189" s="10"/>
      <c r="K189" s="11"/>
      <c r="L189" s="12"/>
      <c r="M189" s="13"/>
      <c r="O189" s="6"/>
      <c r="P189" s="7"/>
      <c r="Q189" s="8"/>
      <c r="R189" s="9"/>
      <c r="T189" s="10"/>
      <c r="U189" s="11"/>
      <c r="V189" s="12"/>
      <c r="W189" s="13"/>
      <c r="Y189" s="6"/>
      <c r="Z189" s="7"/>
      <c r="AA189" s="8"/>
      <c r="AB189" s="9"/>
      <c r="AD189" s="10"/>
      <c r="AE189" s="11"/>
      <c r="AF189" s="12"/>
      <c r="AG189" s="13"/>
      <c r="AI189" s="6"/>
      <c r="AJ189" s="7"/>
      <c r="AK189" s="8"/>
      <c r="AL189" s="9"/>
      <c r="AN189" s="10"/>
      <c r="AO189" s="11"/>
      <c r="AP189" s="12"/>
      <c r="AQ189" s="13"/>
      <c r="AS189" s="6"/>
      <c r="AT189" s="7"/>
      <c r="AU189" s="8"/>
      <c r="AV189" s="9"/>
      <c r="AX189" s="10"/>
      <c r="AY189" s="11"/>
      <c r="AZ189" s="12"/>
      <c r="BA189" s="13"/>
      <c r="BC189" s="6"/>
      <c r="BD189" s="7"/>
      <c r="BE189" s="8"/>
      <c r="BF189" s="9"/>
      <c r="BG189" s="4"/>
      <c r="BH189" s="46">
        <f t="shared" si="24"/>
        <v>0</v>
      </c>
      <c r="BI189" s="47">
        <f t="shared" si="25"/>
        <v>0</v>
      </c>
    </row>
    <row r="190" spans="1:61" x14ac:dyDescent="0.25">
      <c r="A190" s="40" t="s">
        <v>307</v>
      </c>
      <c r="B190" s="41">
        <v>6</v>
      </c>
      <c r="C190" s="40" t="s">
        <v>66</v>
      </c>
      <c r="D190" t="s">
        <v>50</v>
      </c>
      <c r="E190" s="6"/>
      <c r="F190" s="7">
        <v>5</v>
      </c>
      <c r="G190" s="8"/>
      <c r="H190" s="9"/>
      <c r="J190" s="10"/>
      <c r="K190" s="11">
        <v>7</v>
      </c>
      <c r="L190" s="12"/>
      <c r="M190" s="13"/>
      <c r="O190" s="6"/>
      <c r="P190" s="7"/>
      <c r="Q190" s="8"/>
      <c r="R190" s="9"/>
      <c r="T190" s="10"/>
      <c r="U190" s="11"/>
      <c r="V190" s="12"/>
      <c r="W190" s="13"/>
      <c r="Y190" s="6"/>
      <c r="Z190" s="7"/>
      <c r="AA190" s="8"/>
      <c r="AB190" s="9"/>
      <c r="AD190" s="10"/>
      <c r="AE190" s="11"/>
      <c r="AF190" s="12"/>
      <c r="AG190" s="13"/>
      <c r="AI190" s="6"/>
      <c r="AJ190" s="7"/>
      <c r="AK190" s="8"/>
      <c r="AL190" s="9"/>
      <c r="AN190" s="10"/>
      <c r="AO190" s="11"/>
      <c r="AP190" s="12"/>
      <c r="AQ190" s="13"/>
      <c r="AS190" s="6"/>
      <c r="AT190" s="7"/>
      <c r="AU190" s="8"/>
      <c r="AV190" s="9"/>
      <c r="AX190" s="10"/>
      <c r="AY190" s="11"/>
      <c r="AZ190" s="12"/>
      <c r="BA190" s="13"/>
      <c r="BC190" s="6"/>
      <c r="BD190" s="7"/>
      <c r="BE190" s="8"/>
      <c r="BF190" s="9"/>
      <c r="BG190" s="4"/>
      <c r="BH190" s="46">
        <f t="shared" si="24"/>
        <v>12</v>
      </c>
      <c r="BI190" s="47">
        <f t="shared" si="25"/>
        <v>3.5999999999999996</v>
      </c>
    </row>
    <row r="191" spans="1:61" x14ac:dyDescent="0.25">
      <c r="A191" s="40" t="s">
        <v>306</v>
      </c>
      <c r="B191" s="41">
        <v>6</v>
      </c>
      <c r="C191" s="40" t="s">
        <v>66</v>
      </c>
      <c r="D191" t="s">
        <v>50</v>
      </c>
      <c r="E191" s="6"/>
      <c r="F191" s="7"/>
      <c r="G191" s="8"/>
      <c r="H191" s="9"/>
      <c r="J191" s="10"/>
      <c r="K191" s="11"/>
      <c r="L191" s="12"/>
      <c r="M191" s="13"/>
      <c r="O191" s="6"/>
      <c r="P191" s="7"/>
      <c r="Q191" s="8">
        <v>5</v>
      </c>
      <c r="R191" s="9"/>
      <c r="T191" s="10"/>
      <c r="U191" s="11"/>
      <c r="V191" s="12"/>
      <c r="W191" s="13"/>
      <c r="Y191" s="6"/>
      <c r="Z191" s="7"/>
      <c r="AA191" s="8"/>
      <c r="AB191" s="9"/>
      <c r="AD191" s="10"/>
      <c r="AE191" s="11"/>
      <c r="AF191" s="12"/>
      <c r="AG191" s="13"/>
      <c r="AI191" s="6"/>
      <c r="AJ191" s="7"/>
      <c r="AK191" s="8"/>
      <c r="AL191" s="9">
        <v>2</v>
      </c>
      <c r="AN191" s="10"/>
      <c r="AO191" s="11"/>
      <c r="AP191" s="12">
        <v>4</v>
      </c>
      <c r="AQ191" s="13"/>
      <c r="AS191" s="6"/>
      <c r="AT191" s="7"/>
      <c r="AU191" s="8"/>
      <c r="AV191" s="9"/>
      <c r="AX191" s="10"/>
      <c r="AY191" s="11"/>
      <c r="AZ191" s="12"/>
      <c r="BA191" s="13"/>
      <c r="BC191" s="6"/>
      <c r="BD191" s="7"/>
      <c r="BE191" s="8"/>
      <c r="BF191" s="9"/>
      <c r="BG191" s="4"/>
      <c r="BH191" s="46">
        <f t="shared" si="24"/>
        <v>11</v>
      </c>
      <c r="BI191" s="47">
        <f t="shared" si="25"/>
        <v>3.3</v>
      </c>
    </row>
    <row r="192" spans="1:61" x14ac:dyDescent="0.25">
      <c r="A192" s="40" t="s">
        <v>305</v>
      </c>
      <c r="B192" s="41">
        <v>6</v>
      </c>
      <c r="C192" s="40" t="s">
        <v>66</v>
      </c>
      <c r="D192" t="s">
        <v>51</v>
      </c>
      <c r="E192" s="6"/>
      <c r="F192" s="7"/>
      <c r="G192" s="8"/>
      <c r="H192" s="9"/>
      <c r="J192" s="10"/>
      <c r="K192" s="11"/>
      <c r="L192" s="12"/>
      <c r="M192" s="13"/>
      <c r="O192" s="6"/>
      <c r="P192" s="7"/>
      <c r="Q192" s="8"/>
      <c r="R192" s="9"/>
      <c r="T192" s="10"/>
      <c r="U192" s="11"/>
      <c r="V192" s="12"/>
      <c r="W192" s="13"/>
      <c r="Y192" s="6"/>
      <c r="Z192" s="7"/>
      <c r="AA192" s="8"/>
      <c r="AB192" s="9"/>
      <c r="AD192" s="10"/>
      <c r="AE192" s="11"/>
      <c r="AF192" s="12"/>
      <c r="AG192" s="13"/>
      <c r="AI192" s="6"/>
      <c r="AJ192" s="7"/>
      <c r="AK192" s="8"/>
      <c r="AL192" s="9"/>
      <c r="AN192" s="10"/>
      <c r="AO192" s="11"/>
      <c r="AP192" s="12"/>
      <c r="AQ192" s="13"/>
      <c r="AS192" s="6"/>
      <c r="AT192" s="7"/>
      <c r="AU192" s="8"/>
      <c r="AV192" s="9"/>
      <c r="AX192" s="10"/>
      <c r="AY192" s="11"/>
      <c r="AZ192" s="12"/>
      <c r="BA192" s="13"/>
      <c r="BC192" s="6"/>
      <c r="BD192" s="7"/>
      <c r="BE192" s="8"/>
      <c r="BF192" s="9"/>
      <c r="BG192" s="4"/>
      <c r="BH192" s="46">
        <f t="shared" si="24"/>
        <v>0</v>
      </c>
      <c r="BI192" s="47">
        <f t="shared" si="25"/>
        <v>0</v>
      </c>
    </row>
    <row r="193" spans="1:61" x14ac:dyDescent="0.25">
      <c r="A193" s="40" t="s">
        <v>304</v>
      </c>
      <c r="B193" s="41">
        <v>6</v>
      </c>
      <c r="C193" s="40" t="s">
        <v>66</v>
      </c>
      <c r="D193" t="s">
        <v>51</v>
      </c>
      <c r="E193" s="6"/>
      <c r="F193" s="7"/>
      <c r="G193" s="8"/>
      <c r="H193" s="9"/>
      <c r="J193" s="10"/>
      <c r="K193" s="11"/>
      <c r="L193" s="12"/>
      <c r="M193" s="13"/>
      <c r="O193" s="6"/>
      <c r="P193" s="7"/>
      <c r="Q193" s="8"/>
      <c r="R193" s="9"/>
      <c r="T193" s="10"/>
      <c r="U193" s="11"/>
      <c r="V193" s="12"/>
      <c r="W193" s="13"/>
      <c r="Y193" s="6"/>
      <c r="Z193" s="7"/>
      <c r="AA193" s="8"/>
      <c r="AB193" s="9"/>
      <c r="AD193" s="10"/>
      <c r="AE193" s="11"/>
      <c r="AF193" s="12"/>
      <c r="AG193" s="13"/>
      <c r="AI193" s="6"/>
      <c r="AJ193" s="7"/>
      <c r="AK193" s="8"/>
      <c r="AL193" s="9"/>
      <c r="AN193" s="10"/>
      <c r="AO193" s="11"/>
      <c r="AP193" s="12"/>
      <c r="AQ193" s="13"/>
      <c r="AS193" s="6"/>
      <c r="AT193" s="7"/>
      <c r="AU193" s="8"/>
      <c r="AV193" s="9"/>
      <c r="AX193" s="10"/>
      <c r="AY193" s="11"/>
      <c r="AZ193" s="12"/>
      <c r="BA193" s="13"/>
      <c r="BC193" s="6"/>
      <c r="BD193" s="7"/>
      <c r="BE193" s="8"/>
      <c r="BF193" s="9"/>
      <c r="BG193" s="4"/>
      <c r="BH193" s="46">
        <f t="shared" si="24"/>
        <v>0</v>
      </c>
      <c r="BI193" s="47">
        <f t="shared" si="25"/>
        <v>0</v>
      </c>
    </row>
    <row r="194" spans="1:61" x14ac:dyDescent="0.25">
      <c r="A194" s="40" t="s">
        <v>303</v>
      </c>
      <c r="B194" s="41">
        <v>6</v>
      </c>
      <c r="C194" s="40" t="s">
        <v>66</v>
      </c>
      <c r="D194" t="s">
        <v>51</v>
      </c>
      <c r="E194" s="6"/>
      <c r="F194" s="7">
        <v>2</v>
      </c>
      <c r="G194" s="8"/>
      <c r="H194" s="9"/>
      <c r="J194" s="10"/>
      <c r="K194" s="11"/>
      <c r="L194" s="12"/>
      <c r="M194" s="13"/>
      <c r="O194" s="6"/>
      <c r="P194" s="7"/>
      <c r="Q194" s="8"/>
      <c r="R194" s="9"/>
      <c r="T194" s="10"/>
      <c r="U194" s="11"/>
      <c r="V194" s="12"/>
      <c r="W194" s="13"/>
      <c r="Y194" s="6"/>
      <c r="Z194" s="7"/>
      <c r="AA194" s="8"/>
      <c r="AB194" s="9"/>
      <c r="AD194" s="10"/>
      <c r="AE194" s="11"/>
      <c r="AF194" s="12"/>
      <c r="AG194" s="13"/>
      <c r="AI194" s="6"/>
      <c r="AJ194" s="7"/>
      <c r="AK194" s="8"/>
      <c r="AL194" s="9"/>
      <c r="AN194" s="10"/>
      <c r="AO194" s="11"/>
      <c r="AP194" s="12"/>
      <c r="AQ194" s="13"/>
      <c r="AS194" s="6"/>
      <c r="AT194" s="7"/>
      <c r="AU194" s="8"/>
      <c r="AV194" s="9"/>
      <c r="AX194" s="10"/>
      <c r="AY194" s="11"/>
      <c r="AZ194" s="12"/>
      <c r="BA194" s="13"/>
      <c r="BC194" s="6"/>
      <c r="BD194" s="7"/>
      <c r="BE194" s="8"/>
      <c r="BF194" s="9"/>
      <c r="BG194" s="4"/>
      <c r="BH194" s="46">
        <f t="shared" si="24"/>
        <v>2</v>
      </c>
      <c r="BI194" s="47">
        <f t="shared" si="25"/>
        <v>0.6</v>
      </c>
    </row>
    <row r="195" spans="1:61" x14ac:dyDescent="0.25">
      <c r="A195" s="40" t="s">
        <v>302</v>
      </c>
      <c r="B195" s="41">
        <v>8</v>
      </c>
      <c r="C195" s="40" t="s">
        <v>66</v>
      </c>
      <c r="D195" t="s">
        <v>57</v>
      </c>
      <c r="E195" s="6"/>
      <c r="F195" s="7"/>
      <c r="G195" s="8"/>
      <c r="H195" s="9"/>
      <c r="J195" s="10"/>
      <c r="K195" s="11"/>
      <c r="L195" s="12"/>
      <c r="M195" s="13"/>
      <c r="O195" s="6"/>
      <c r="P195" s="7"/>
      <c r="Q195" s="8"/>
      <c r="R195" s="9"/>
      <c r="T195" s="10"/>
      <c r="U195" s="11"/>
      <c r="V195" s="12"/>
      <c r="W195" s="13"/>
      <c r="Y195" s="6"/>
      <c r="Z195" s="7"/>
      <c r="AA195" s="8"/>
      <c r="AB195" s="9"/>
      <c r="AD195" s="10"/>
      <c r="AE195" s="11"/>
      <c r="AF195" s="12"/>
      <c r="AG195" s="13"/>
      <c r="AI195" s="6"/>
      <c r="AJ195" s="7"/>
      <c r="AK195" s="8"/>
      <c r="AL195" s="9"/>
      <c r="AN195" s="10"/>
      <c r="AO195" s="11"/>
      <c r="AP195" s="12"/>
      <c r="AQ195" s="13"/>
      <c r="AS195" s="6"/>
      <c r="AT195" s="7"/>
      <c r="AU195" s="8"/>
      <c r="AV195" s="9"/>
      <c r="AX195" s="10"/>
      <c r="AY195" s="11"/>
      <c r="AZ195" s="12"/>
      <c r="BA195" s="13"/>
      <c r="BC195" s="6"/>
      <c r="BD195" s="7"/>
      <c r="BE195" s="8"/>
      <c r="BF195" s="9"/>
      <c r="BG195" s="4"/>
      <c r="BH195" s="46">
        <f t="shared" si="24"/>
        <v>0</v>
      </c>
      <c r="BI195" s="47">
        <f t="shared" si="25"/>
        <v>0</v>
      </c>
    </row>
    <row r="196" spans="1:61" x14ac:dyDescent="0.25">
      <c r="A196" s="40" t="s">
        <v>390</v>
      </c>
      <c r="B196" s="41">
        <v>8</v>
      </c>
      <c r="C196" s="40" t="s">
        <v>66</v>
      </c>
      <c r="D196" t="s">
        <v>57</v>
      </c>
      <c r="E196" s="6">
        <v>3</v>
      </c>
      <c r="F196" s="7">
        <v>3</v>
      </c>
      <c r="G196" s="8">
        <v>3</v>
      </c>
      <c r="H196" s="9"/>
      <c r="J196" s="10">
        <v>3</v>
      </c>
      <c r="K196" s="11">
        <v>4</v>
      </c>
      <c r="L196" s="12">
        <v>4</v>
      </c>
      <c r="M196" s="13"/>
      <c r="O196" s="6"/>
      <c r="P196" s="7"/>
      <c r="Q196" s="8"/>
      <c r="R196" s="9"/>
      <c r="T196" s="10"/>
      <c r="U196" s="11"/>
      <c r="V196" s="12"/>
      <c r="W196" s="13"/>
      <c r="Y196" s="6"/>
      <c r="Z196" s="7"/>
      <c r="AA196" s="8"/>
      <c r="AB196" s="9"/>
      <c r="AD196" s="10"/>
      <c r="AE196" s="11"/>
      <c r="AF196" s="12"/>
      <c r="AG196" s="13">
        <v>3</v>
      </c>
      <c r="AI196" s="6"/>
      <c r="AJ196" s="7"/>
      <c r="AK196" s="8"/>
      <c r="AL196" s="9"/>
      <c r="AN196" s="10">
        <v>2</v>
      </c>
      <c r="AO196" s="11"/>
      <c r="AP196" s="12"/>
      <c r="AQ196" s="13"/>
      <c r="AS196" s="6"/>
      <c r="AT196" s="7"/>
      <c r="AU196" s="8"/>
      <c r="AV196" s="9"/>
      <c r="AX196" s="10"/>
      <c r="AY196" s="11"/>
      <c r="AZ196" s="12"/>
      <c r="BA196" s="13"/>
      <c r="BC196" s="6"/>
      <c r="BD196" s="7"/>
      <c r="BE196" s="8"/>
      <c r="BF196" s="9"/>
      <c r="BG196" s="4"/>
      <c r="BH196" s="46">
        <f t="shared" si="24"/>
        <v>25</v>
      </c>
      <c r="BI196" s="47">
        <f t="shared" si="25"/>
        <v>7.5</v>
      </c>
    </row>
    <row r="197" spans="1:61" x14ac:dyDescent="0.25">
      <c r="A197" s="40" t="s">
        <v>391</v>
      </c>
      <c r="B197" s="41">
        <v>8</v>
      </c>
      <c r="C197" s="40" t="s">
        <v>66</v>
      </c>
      <c r="D197" t="s">
        <v>57</v>
      </c>
      <c r="E197" s="6"/>
      <c r="F197" s="7"/>
      <c r="G197" s="8"/>
      <c r="H197" s="9"/>
      <c r="J197" s="10"/>
      <c r="K197" s="11"/>
      <c r="L197" s="12"/>
      <c r="M197" s="13"/>
      <c r="O197" s="6"/>
      <c r="P197" s="7"/>
      <c r="Q197" s="8"/>
      <c r="R197" s="9"/>
      <c r="T197" s="10"/>
      <c r="U197" s="11"/>
      <c r="V197" s="12"/>
      <c r="W197" s="13"/>
      <c r="Y197" s="6"/>
      <c r="Z197" s="7"/>
      <c r="AA197" s="8"/>
      <c r="AB197" s="9"/>
      <c r="AD197" s="10"/>
      <c r="AE197" s="11"/>
      <c r="AF197" s="12"/>
      <c r="AG197" s="13"/>
      <c r="AI197" s="6"/>
      <c r="AJ197" s="7"/>
      <c r="AK197" s="8"/>
      <c r="AL197" s="9"/>
      <c r="AN197" s="10"/>
      <c r="AO197" s="11"/>
      <c r="AP197" s="12"/>
      <c r="AQ197" s="13"/>
      <c r="AS197" s="6"/>
      <c r="AT197" s="7"/>
      <c r="AU197" s="8"/>
      <c r="AV197" s="9"/>
      <c r="AX197" s="10"/>
      <c r="AY197" s="11"/>
      <c r="AZ197" s="12"/>
      <c r="BA197" s="13"/>
      <c r="BC197" s="6"/>
      <c r="BD197" s="7"/>
      <c r="BE197" s="8"/>
      <c r="BF197" s="9"/>
      <c r="BG197" s="4"/>
      <c r="BH197" s="46">
        <f t="shared" si="24"/>
        <v>0</v>
      </c>
      <c r="BI197" s="47">
        <f t="shared" si="25"/>
        <v>0</v>
      </c>
    </row>
    <row r="198" spans="1:61" x14ac:dyDescent="0.25">
      <c r="A198" s="40" t="s">
        <v>392</v>
      </c>
      <c r="B198" s="41">
        <v>8</v>
      </c>
      <c r="C198" s="40" t="s">
        <v>66</v>
      </c>
      <c r="D198" t="s">
        <v>57</v>
      </c>
      <c r="E198" s="6"/>
      <c r="F198" s="7"/>
      <c r="G198" s="8"/>
      <c r="H198" s="9"/>
      <c r="J198" s="10"/>
      <c r="K198" s="11"/>
      <c r="L198" s="12"/>
      <c r="M198" s="13"/>
      <c r="O198" s="6"/>
      <c r="P198" s="7"/>
      <c r="Q198" s="8"/>
      <c r="R198" s="9"/>
      <c r="T198" s="10"/>
      <c r="U198" s="11"/>
      <c r="V198" s="12"/>
      <c r="W198" s="13"/>
      <c r="Y198" s="6"/>
      <c r="Z198" s="7"/>
      <c r="AA198" s="8"/>
      <c r="AB198" s="9"/>
      <c r="AD198" s="10"/>
      <c r="AE198" s="11"/>
      <c r="AF198" s="12"/>
      <c r="AG198" s="13"/>
      <c r="AI198" s="6"/>
      <c r="AJ198" s="7"/>
      <c r="AK198" s="8"/>
      <c r="AL198" s="9"/>
      <c r="AN198" s="10"/>
      <c r="AO198" s="11"/>
      <c r="AP198" s="12"/>
      <c r="AQ198" s="13"/>
      <c r="AS198" s="6"/>
      <c r="AT198" s="7"/>
      <c r="AU198" s="8"/>
      <c r="AV198" s="9"/>
      <c r="AX198" s="10"/>
      <c r="AY198" s="11"/>
      <c r="AZ198" s="12"/>
      <c r="BA198" s="13"/>
      <c r="BC198" s="6"/>
      <c r="BD198" s="7"/>
      <c r="BE198" s="8"/>
      <c r="BF198" s="9"/>
      <c r="BG198" s="4"/>
      <c r="BH198" s="46">
        <f t="shared" si="24"/>
        <v>0</v>
      </c>
      <c r="BI198" s="47">
        <f t="shared" si="25"/>
        <v>0</v>
      </c>
    </row>
    <row r="199" spans="1:61" x14ac:dyDescent="0.25">
      <c r="A199" s="40" t="s">
        <v>393</v>
      </c>
      <c r="B199" s="41">
        <v>8</v>
      </c>
      <c r="C199" s="40" t="s">
        <v>66</v>
      </c>
      <c r="D199" t="s">
        <v>57</v>
      </c>
      <c r="E199" s="6"/>
      <c r="F199" s="7"/>
      <c r="G199" s="8"/>
      <c r="H199" s="9"/>
      <c r="J199" s="10"/>
      <c r="K199" s="11"/>
      <c r="L199" s="12"/>
      <c r="M199" s="13"/>
      <c r="O199" s="6"/>
      <c r="P199" s="7"/>
      <c r="Q199" s="8"/>
      <c r="R199" s="9"/>
      <c r="T199" s="10"/>
      <c r="U199" s="11"/>
      <c r="V199" s="12"/>
      <c r="W199" s="13"/>
      <c r="Y199" s="6"/>
      <c r="Z199" s="7"/>
      <c r="AA199" s="8"/>
      <c r="AB199" s="9"/>
      <c r="AD199" s="10"/>
      <c r="AE199" s="11"/>
      <c r="AF199" s="12"/>
      <c r="AG199" s="13"/>
      <c r="AI199" s="6"/>
      <c r="AJ199" s="7"/>
      <c r="AK199" s="8"/>
      <c r="AL199" s="9"/>
      <c r="AN199" s="10"/>
      <c r="AO199" s="11"/>
      <c r="AP199" s="12"/>
      <c r="AQ199" s="13"/>
      <c r="AS199" s="6"/>
      <c r="AT199" s="7"/>
      <c r="AU199" s="8"/>
      <c r="AV199" s="9"/>
      <c r="AX199" s="10"/>
      <c r="AY199" s="11"/>
      <c r="AZ199" s="12"/>
      <c r="BA199" s="13"/>
      <c r="BC199" s="6"/>
      <c r="BD199" s="7"/>
      <c r="BE199" s="8"/>
      <c r="BF199" s="9"/>
      <c r="BG199" s="4"/>
      <c r="BH199" s="46">
        <f t="shared" si="24"/>
        <v>0</v>
      </c>
      <c r="BI199" s="47">
        <f t="shared" si="25"/>
        <v>0</v>
      </c>
    </row>
    <row r="200" spans="1:61" x14ac:dyDescent="0.25">
      <c r="A200" s="40" t="s">
        <v>394</v>
      </c>
      <c r="B200" s="41">
        <v>9</v>
      </c>
      <c r="C200" s="40" t="s">
        <v>66</v>
      </c>
      <c r="D200" t="s">
        <v>57</v>
      </c>
      <c r="E200" s="6"/>
      <c r="F200" s="7"/>
      <c r="G200" s="8"/>
      <c r="H200" s="9"/>
      <c r="J200" s="10"/>
      <c r="K200" s="11"/>
      <c r="L200" s="12"/>
      <c r="M200" s="13"/>
      <c r="O200" s="6"/>
      <c r="P200" s="7"/>
      <c r="Q200" s="8"/>
      <c r="R200" s="9"/>
      <c r="T200" s="10"/>
      <c r="U200" s="11"/>
      <c r="V200" s="12"/>
      <c r="W200" s="13"/>
      <c r="Y200" s="6"/>
      <c r="Z200" s="7"/>
      <c r="AA200" s="8"/>
      <c r="AB200" s="9"/>
      <c r="AD200" s="10"/>
      <c r="AE200" s="11"/>
      <c r="AF200" s="12"/>
      <c r="AG200" s="13"/>
      <c r="AI200" s="6"/>
      <c r="AJ200" s="7"/>
      <c r="AK200" s="8"/>
      <c r="AL200" s="9"/>
      <c r="AN200" s="10"/>
      <c r="AO200" s="11"/>
      <c r="AP200" s="12"/>
      <c r="AQ200" s="13"/>
      <c r="AS200" s="6"/>
      <c r="AT200" s="7"/>
      <c r="AU200" s="8"/>
      <c r="AV200" s="9"/>
      <c r="AX200" s="10"/>
      <c r="AY200" s="11"/>
      <c r="AZ200" s="12"/>
      <c r="BA200" s="13"/>
      <c r="BC200" s="6"/>
      <c r="BD200" s="7"/>
      <c r="BE200" s="8"/>
      <c r="BF200" s="9"/>
      <c r="BG200" s="4"/>
      <c r="BH200" s="46">
        <f t="shared" si="24"/>
        <v>0</v>
      </c>
      <c r="BI200" s="47">
        <f t="shared" si="25"/>
        <v>0</v>
      </c>
    </row>
    <row r="201" spans="1:61" x14ac:dyDescent="0.25">
      <c r="A201" s="40" t="s">
        <v>395</v>
      </c>
      <c r="B201" s="41">
        <v>9</v>
      </c>
      <c r="C201" s="40" t="s">
        <v>66</v>
      </c>
      <c r="D201" t="s">
        <v>57</v>
      </c>
      <c r="E201" s="6"/>
      <c r="F201" s="7">
        <v>5</v>
      </c>
      <c r="G201" s="8"/>
      <c r="H201" s="9"/>
      <c r="J201" s="10"/>
      <c r="K201" s="11"/>
      <c r="L201" s="12">
        <v>1</v>
      </c>
      <c r="M201" s="13"/>
      <c r="O201" s="6"/>
      <c r="P201" s="7"/>
      <c r="Q201" s="8"/>
      <c r="R201" s="9"/>
      <c r="T201" s="10"/>
      <c r="U201" s="11"/>
      <c r="V201" s="12"/>
      <c r="W201" s="13"/>
      <c r="Y201" s="6"/>
      <c r="Z201" s="7"/>
      <c r="AA201" s="8"/>
      <c r="AB201" s="9"/>
      <c r="AD201" s="10"/>
      <c r="AE201" s="11"/>
      <c r="AF201" s="12"/>
      <c r="AG201" s="13"/>
      <c r="AI201" s="6"/>
      <c r="AJ201" s="7"/>
      <c r="AK201" s="8"/>
      <c r="AL201" s="9"/>
      <c r="AN201" s="10"/>
      <c r="AO201" s="11"/>
      <c r="AP201" s="12"/>
      <c r="AQ201" s="13"/>
      <c r="AS201" s="6"/>
      <c r="AT201" s="7"/>
      <c r="AU201" s="8"/>
      <c r="AV201" s="9"/>
      <c r="AX201" s="10"/>
      <c r="AY201" s="11"/>
      <c r="AZ201" s="12"/>
      <c r="BA201" s="13"/>
      <c r="BC201" s="6"/>
      <c r="BD201" s="7"/>
      <c r="BE201" s="8"/>
      <c r="BF201" s="9"/>
      <c r="BG201" s="4"/>
      <c r="BH201" s="46">
        <f t="shared" si="24"/>
        <v>6</v>
      </c>
      <c r="BI201" s="47">
        <f t="shared" si="25"/>
        <v>1.7999999999999998</v>
      </c>
    </row>
    <row r="202" spans="1:61" x14ac:dyDescent="0.25">
      <c r="A202" s="40" t="s">
        <v>396</v>
      </c>
      <c r="B202" s="41">
        <v>9</v>
      </c>
      <c r="C202" s="40" t="s">
        <v>66</v>
      </c>
      <c r="D202" t="s">
        <v>57</v>
      </c>
      <c r="E202" s="6"/>
      <c r="F202" s="7"/>
      <c r="G202" s="8"/>
      <c r="H202" s="9"/>
      <c r="J202" s="10"/>
      <c r="K202" s="11"/>
      <c r="L202" s="12"/>
      <c r="M202" s="13"/>
      <c r="O202" s="6"/>
      <c r="P202" s="7"/>
      <c r="Q202" s="8"/>
      <c r="R202" s="9"/>
      <c r="T202" s="10"/>
      <c r="U202" s="11"/>
      <c r="V202" s="12"/>
      <c r="W202" s="13"/>
      <c r="Y202" s="6"/>
      <c r="Z202" s="7"/>
      <c r="AA202" s="8"/>
      <c r="AB202" s="9"/>
      <c r="AD202" s="10"/>
      <c r="AE202" s="11"/>
      <c r="AF202" s="12"/>
      <c r="AG202" s="13"/>
      <c r="AI202" s="6"/>
      <c r="AJ202" s="7"/>
      <c r="AK202" s="8"/>
      <c r="AL202" s="9"/>
      <c r="AN202" s="10"/>
      <c r="AO202" s="11"/>
      <c r="AP202" s="12"/>
      <c r="AQ202" s="13"/>
      <c r="AS202" s="6"/>
      <c r="AT202" s="7"/>
      <c r="AU202" s="8"/>
      <c r="AV202" s="9"/>
      <c r="AX202" s="10"/>
      <c r="AY202" s="11"/>
      <c r="AZ202" s="12"/>
      <c r="BA202" s="13"/>
      <c r="BC202" s="6"/>
      <c r="BD202" s="7"/>
      <c r="BE202" s="8"/>
      <c r="BF202" s="9"/>
      <c r="BG202" s="4"/>
      <c r="BH202" s="46">
        <f t="shared" si="24"/>
        <v>0</v>
      </c>
      <c r="BI202" s="47">
        <f t="shared" si="25"/>
        <v>0</v>
      </c>
    </row>
    <row r="203" spans="1:61" x14ac:dyDescent="0.25">
      <c r="A203" s="40" t="s">
        <v>397</v>
      </c>
      <c r="B203" s="41">
        <v>9</v>
      </c>
      <c r="C203" s="40" t="s">
        <v>66</v>
      </c>
      <c r="D203" t="s">
        <v>57</v>
      </c>
      <c r="E203" s="6"/>
      <c r="F203" s="7"/>
      <c r="G203" s="8"/>
      <c r="H203" s="9"/>
      <c r="J203" s="10"/>
      <c r="K203" s="11"/>
      <c r="L203" s="12"/>
      <c r="M203" s="13"/>
      <c r="O203" s="6"/>
      <c r="P203" s="7"/>
      <c r="Q203" s="8"/>
      <c r="R203" s="9"/>
      <c r="T203" s="10"/>
      <c r="U203" s="11"/>
      <c r="V203" s="12"/>
      <c r="W203" s="13"/>
      <c r="Y203" s="6"/>
      <c r="Z203" s="7"/>
      <c r="AA203" s="8"/>
      <c r="AB203" s="9"/>
      <c r="AD203" s="10"/>
      <c r="AE203" s="11"/>
      <c r="AF203" s="12"/>
      <c r="AG203" s="13"/>
      <c r="AI203" s="6"/>
      <c r="AJ203" s="7"/>
      <c r="AK203" s="8"/>
      <c r="AL203" s="9"/>
      <c r="AN203" s="10"/>
      <c r="AO203" s="11"/>
      <c r="AP203" s="12"/>
      <c r="AQ203" s="13"/>
      <c r="AS203" s="6"/>
      <c r="AT203" s="7"/>
      <c r="AU203" s="8"/>
      <c r="AV203" s="9"/>
      <c r="AX203" s="10"/>
      <c r="AY203" s="11"/>
      <c r="AZ203" s="12"/>
      <c r="BA203" s="13"/>
      <c r="BC203" s="6"/>
      <c r="BD203" s="7"/>
      <c r="BE203" s="8"/>
      <c r="BF203" s="9"/>
      <c r="BG203" s="4"/>
      <c r="BH203" s="46">
        <f t="shared" si="24"/>
        <v>0</v>
      </c>
      <c r="BI203" s="47">
        <f t="shared" si="25"/>
        <v>0</v>
      </c>
    </row>
    <row r="204" spans="1:61" x14ac:dyDescent="0.25">
      <c r="A204" s="40" t="s">
        <v>294</v>
      </c>
      <c r="B204" s="41">
        <v>1</v>
      </c>
      <c r="C204" s="40" t="s">
        <v>66</v>
      </c>
      <c r="D204" t="s">
        <v>62</v>
      </c>
      <c r="E204" s="6"/>
      <c r="F204" s="7"/>
      <c r="G204" s="8"/>
      <c r="H204" s="9"/>
      <c r="J204" s="10"/>
      <c r="K204" s="11"/>
      <c r="L204" s="12"/>
      <c r="M204" s="13"/>
      <c r="O204" s="6"/>
      <c r="P204" s="7"/>
      <c r="Q204" s="8"/>
      <c r="R204" s="9"/>
      <c r="T204" s="10"/>
      <c r="U204" s="11"/>
      <c r="V204" s="12"/>
      <c r="W204" s="13"/>
      <c r="Y204" s="6"/>
      <c r="Z204" s="7"/>
      <c r="AA204" s="8"/>
      <c r="AB204" s="9"/>
      <c r="AD204" s="10"/>
      <c r="AE204" s="11"/>
      <c r="AF204" s="12"/>
      <c r="AG204" s="13"/>
      <c r="AI204" s="6"/>
      <c r="AJ204" s="7"/>
      <c r="AK204" s="8"/>
      <c r="AL204" s="9"/>
      <c r="AN204" s="10"/>
      <c r="AO204" s="11"/>
      <c r="AP204" s="12"/>
      <c r="AQ204" s="13"/>
      <c r="AS204" s="6"/>
      <c r="AT204" s="7"/>
      <c r="AU204" s="8"/>
      <c r="AV204" s="9"/>
      <c r="AX204" s="10"/>
      <c r="AY204" s="11"/>
      <c r="AZ204" s="12"/>
      <c r="BA204" s="13"/>
      <c r="BC204" s="6"/>
      <c r="BD204" s="7"/>
      <c r="BE204" s="8"/>
      <c r="BF204" s="9"/>
      <c r="BG204" s="4"/>
      <c r="BH204" s="46">
        <f t="shared" ref="BH204" si="28">SUM(E204:BF204)</f>
        <v>0</v>
      </c>
      <c r="BI204" s="47">
        <f t="shared" ref="BI204" si="29">(SUM(E204:BG204)*$D$2)</f>
        <v>0</v>
      </c>
    </row>
    <row r="205" spans="1:61" x14ac:dyDescent="0.25">
      <c r="A205" s="40" t="s">
        <v>353</v>
      </c>
      <c r="B205" s="41">
        <v>1</v>
      </c>
      <c r="C205" s="40" t="s">
        <v>66</v>
      </c>
      <c r="D205" t="s">
        <v>62</v>
      </c>
      <c r="E205" s="6"/>
      <c r="F205" s="7">
        <v>3</v>
      </c>
      <c r="G205" s="8"/>
      <c r="H205" s="9"/>
      <c r="J205" s="10"/>
      <c r="K205" s="11"/>
      <c r="L205" s="12"/>
      <c r="M205" s="13"/>
      <c r="O205" s="6"/>
      <c r="P205" s="7"/>
      <c r="Q205" s="8"/>
      <c r="R205" s="9"/>
      <c r="T205" s="10"/>
      <c r="U205" s="11"/>
      <c r="V205" s="12"/>
      <c r="W205" s="13"/>
      <c r="Y205" s="6"/>
      <c r="Z205" s="7"/>
      <c r="AA205" s="8"/>
      <c r="AB205" s="9"/>
      <c r="AD205" s="10"/>
      <c r="AE205" s="11"/>
      <c r="AF205" s="12"/>
      <c r="AG205" s="13"/>
      <c r="AI205" s="6"/>
      <c r="AJ205" s="7"/>
      <c r="AK205" s="8"/>
      <c r="AL205" s="9"/>
      <c r="AN205" s="10"/>
      <c r="AO205" s="11"/>
      <c r="AP205" s="12"/>
      <c r="AQ205" s="13"/>
      <c r="AS205" s="6"/>
      <c r="AT205" s="7"/>
      <c r="AU205" s="8"/>
      <c r="AV205" s="9"/>
      <c r="AX205" s="10"/>
      <c r="AY205" s="11"/>
      <c r="AZ205" s="12"/>
      <c r="BA205" s="13"/>
      <c r="BC205" s="6"/>
      <c r="BD205" s="7"/>
      <c r="BE205" s="8"/>
      <c r="BF205" s="9"/>
      <c r="BG205" s="4"/>
      <c r="BH205" s="46">
        <f t="shared" si="24"/>
        <v>3</v>
      </c>
      <c r="BI205" s="47">
        <f t="shared" si="25"/>
        <v>0.89999999999999991</v>
      </c>
    </row>
    <row r="206" spans="1:61" x14ac:dyDescent="0.25">
      <c r="A206" s="40" t="s">
        <v>293</v>
      </c>
      <c r="B206" s="41">
        <v>1</v>
      </c>
      <c r="C206" s="40" t="s">
        <v>66</v>
      </c>
      <c r="D206" t="s">
        <v>62</v>
      </c>
      <c r="E206" s="6"/>
      <c r="F206" s="7"/>
      <c r="G206" s="8"/>
      <c r="H206" s="9"/>
      <c r="J206" s="10"/>
      <c r="K206" s="11"/>
      <c r="L206" s="12"/>
      <c r="M206" s="13"/>
      <c r="O206" s="6"/>
      <c r="P206" s="7"/>
      <c r="Q206" s="8"/>
      <c r="R206" s="9"/>
      <c r="T206" s="10"/>
      <c r="U206" s="11"/>
      <c r="V206" s="12"/>
      <c r="W206" s="13"/>
      <c r="Y206" s="6"/>
      <c r="Z206" s="7"/>
      <c r="AA206" s="8"/>
      <c r="AB206" s="9"/>
      <c r="AD206" s="10"/>
      <c r="AE206" s="11"/>
      <c r="AF206" s="12"/>
      <c r="AG206" s="13"/>
      <c r="AI206" s="6"/>
      <c r="AJ206" s="7"/>
      <c r="AK206" s="8"/>
      <c r="AL206" s="9"/>
      <c r="AN206" s="10"/>
      <c r="AO206" s="11"/>
      <c r="AP206" s="12"/>
      <c r="AQ206" s="13"/>
      <c r="AS206" s="6"/>
      <c r="AT206" s="7"/>
      <c r="AU206" s="8"/>
      <c r="AV206" s="9"/>
      <c r="AX206" s="10"/>
      <c r="AY206" s="11"/>
      <c r="AZ206" s="12"/>
      <c r="BA206" s="13"/>
      <c r="BC206" s="6"/>
      <c r="BD206" s="7"/>
      <c r="BE206" s="8"/>
      <c r="BF206" s="9"/>
      <c r="BG206" s="4"/>
      <c r="BH206" s="46">
        <f t="shared" si="24"/>
        <v>0</v>
      </c>
      <c r="BI206" s="47">
        <f t="shared" si="25"/>
        <v>0</v>
      </c>
    </row>
    <row r="207" spans="1:61" x14ac:dyDescent="0.25">
      <c r="A207" s="40" t="s">
        <v>398</v>
      </c>
      <c r="B207" s="41">
        <v>1</v>
      </c>
      <c r="C207" s="40" t="s">
        <v>66</v>
      </c>
      <c r="D207" t="s">
        <v>62</v>
      </c>
      <c r="E207" s="6"/>
      <c r="F207" s="7"/>
      <c r="G207" s="8"/>
      <c r="H207" s="9"/>
      <c r="J207" s="10"/>
      <c r="K207" s="11"/>
      <c r="L207" s="12"/>
      <c r="M207" s="13"/>
      <c r="O207" s="6"/>
      <c r="P207" s="7"/>
      <c r="Q207" s="8"/>
      <c r="R207" s="9"/>
      <c r="T207" s="10"/>
      <c r="U207" s="11"/>
      <c r="V207" s="12"/>
      <c r="W207" s="13"/>
      <c r="Y207" s="6"/>
      <c r="Z207" s="7"/>
      <c r="AA207" s="8"/>
      <c r="AB207" s="9"/>
      <c r="AD207" s="10"/>
      <c r="AE207" s="11"/>
      <c r="AF207" s="12"/>
      <c r="AG207" s="13"/>
      <c r="AI207" s="6"/>
      <c r="AJ207" s="7"/>
      <c r="AK207" s="8"/>
      <c r="AL207" s="9"/>
      <c r="AN207" s="10"/>
      <c r="AO207" s="11"/>
      <c r="AP207" s="12"/>
      <c r="AQ207" s="13"/>
      <c r="AS207" s="6"/>
      <c r="AT207" s="7"/>
      <c r="AU207" s="8"/>
      <c r="AV207" s="9"/>
      <c r="AX207" s="10"/>
      <c r="AY207" s="11"/>
      <c r="AZ207" s="12"/>
      <c r="BA207" s="13"/>
      <c r="BC207" s="6"/>
      <c r="BD207" s="7"/>
      <c r="BE207" s="8"/>
      <c r="BF207" s="9"/>
      <c r="BG207" s="4"/>
      <c r="BH207" s="46">
        <f t="shared" si="24"/>
        <v>0</v>
      </c>
      <c r="BI207" s="47">
        <f t="shared" si="25"/>
        <v>0</v>
      </c>
    </row>
    <row r="208" spans="1:61" x14ac:dyDescent="0.25">
      <c r="A208" s="40" t="s">
        <v>399</v>
      </c>
      <c r="B208" s="41">
        <v>1</v>
      </c>
      <c r="C208" s="40" t="s">
        <v>66</v>
      </c>
      <c r="D208" t="s">
        <v>62</v>
      </c>
      <c r="E208" s="6"/>
      <c r="F208" s="7">
        <v>4</v>
      </c>
      <c r="G208" s="8">
        <v>1</v>
      </c>
      <c r="H208" s="9"/>
      <c r="J208" s="10"/>
      <c r="K208" s="11"/>
      <c r="L208" s="12"/>
      <c r="M208" s="13">
        <v>3</v>
      </c>
      <c r="O208" s="6"/>
      <c r="P208" s="7"/>
      <c r="Q208" s="8"/>
      <c r="R208" s="9"/>
      <c r="T208" s="10"/>
      <c r="U208" s="11"/>
      <c r="V208" s="12"/>
      <c r="W208" s="13"/>
      <c r="Y208" s="6"/>
      <c r="Z208" s="7"/>
      <c r="AA208" s="8"/>
      <c r="AB208" s="9"/>
      <c r="AD208" s="10"/>
      <c r="AE208" s="11"/>
      <c r="AF208" s="12"/>
      <c r="AG208" s="13"/>
      <c r="AI208" s="6"/>
      <c r="AJ208" s="7"/>
      <c r="AK208" s="8"/>
      <c r="AL208" s="9"/>
      <c r="AN208" s="10"/>
      <c r="AO208" s="11"/>
      <c r="AP208" s="12"/>
      <c r="AQ208" s="13"/>
      <c r="AS208" s="6"/>
      <c r="AT208" s="7"/>
      <c r="AU208" s="8"/>
      <c r="AV208" s="9"/>
      <c r="AX208" s="10"/>
      <c r="AY208" s="11"/>
      <c r="AZ208" s="12"/>
      <c r="BA208" s="13"/>
      <c r="BC208" s="6"/>
      <c r="BD208" s="7"/>
      <c r="BE208" s="8"/>
      <c r="BF208" s="9"/>
      <c r="BG208" s="4"/>
      <c r="BH208" s="46">
        <f>SUM(E208:BF208)</f>
        <v>8</v>
      </c>
      <c r="BI208" s="47">
        <f>(SUM(E208:BG208)*$D$2)</f>
        <v>2.4</v>
      </c>
    </row>
    <row r="209" spans="1:61" x14ac:dyDescent="0.25">
      <c r="A209" s="40" t="s">
        <v>351</v>
      </c>
      <c r="B209" s="41">
        <v>1</v>
      </c>
      <c r="C209" s="40" t="s">
        <v>66</v>
      </c>
      <c r="D209" t="s">
        <v>62</v>
      </c>
      <c r="E209" s="6"/>
      <c r="F209" s="7">
        <v>4</v>
      </c>
      <c r="G209" s="8"/>
      <c r="H209" s="9"/>
      <c r="J209" s="10"/>
      <c r="K209" s="11"/>
      <c r="L209" s="12"/>
      <c r="M209" s="13"/>
      <c r="O209" s="6"/>
      <c r="P209" s="7"/>
      <c r="Q209" s="8"/>
      <c r="R209" s="9"/>
      <c r="T209" s="10"/>
      <c r="U209" s="11"/>
      <c r="V209" s="12"/>
      <c r="W209" s="13"/>
      <c r="Y209" s="6"/>
      <c r="Z209" s="7"/>
      <c r="AA209" s="8"/>
      <c r="AB209" s="9"/>
      <c r="AD209" s="10"/>
      <c r="AE209" s="11"/>
      <c r="AF209" s="12"/>
      <c r="AG209" s="13"/>
      <c r="AI209" s="6"/>
      <c r="AJ209" s="7"/>
      <c r="AK209" s="8"/>
      <c r="AL209" s="9"/>
      <c r="AN209" s="10"/>
      <c r="AO209" s="11"/>
      <c r="AP209" s="12"/>
      <c r="AQ209" s="13"/>
      <c r="AS209" s="6"/>
      <c r="AT209" s="7"/>
      <c r="AU209" s="8"/>
      <c r="AV209" s="9"/>
      <c r="AX209" s="10"/>
      <c r="AY209" s="11"/>
      <c r="AZ209" s="12"/>
      <c r="BA209" s="13"/>
      <c r="BC209" s="6"/>
      <c r="BD209" s="7"/>
      <c r="BE209" s="8"/>
      <c r="BF209" s="9"/>
      <c r="BG209" s="4"/>
      <c r="BH209" s="46">
        <f>SUM(E209:BF209)</f>
        <v>4</v>
      </c>
      <c r="BI209" s="47">
        <f>(SUM(E209:BG209)*$D$2)</f>
        <v>1.2</v>
      </c>
    </row>
    <row r="210" spans="1:61" x14ac:dyDescent="0.25">
      <c r="A210" s="40" t="s">
        <v>291</v>
      </c>
      <c r="B210" s="40" t="s">
        <v>53</v>
      </c>
      <c r="C210" s="40" t="s">
        <v>66</v>
      </c>
      <c r="D210" t="s">
        <v>62</v>
      </c>
      <c r="E210" s="6"/>
      <c r="F210" s="7">
        <v>1</v>
      </c>
      <c r="G210" s="8"/>
      <c r="H210" s="9"/>
      <c r="J210" s="10"/>
      <c r="K210" s="11"/>
      <c r="L210" s="12"/>
      <c r="M210" s="13"/>
      <c r="O210" s="6"/>
      <c r="P210" s="7"/>
      <c r="Q210" s="8"/>
      <c r="R210" s="9"/>
      <c r="T210" s="10"/>
      <c r="U210" s="11"/>
      <c r="V210" s="12"/>
      <c r="W210" s="13"/>
      <c r="Y210" s="6"/>
      <c r="Z210" s="7"/>
      <c r="AA210" s="8"/>
      <c r="AB210" s="9"/>
      <c r="AD210" s="10"/>
      <c r="AE210" s="11"/>
      <c r="AF210" s="12"/>
      <c r="AG210" s="13"/>
      <c r="AI210" s="6"/>
      <c r="AJ210" s="7"/>
      <c r="AK210" s="8"/>
      <c r="AL210" s="9"/>
      <c r="AN210" s="10"/>
      <c r="AO210" s="11"/>
      <c r="AP210" s="12"/>
      <c r="AQ210" s="13"/>
      <c r="AS210" s="6"/>
      <c r="AT210" s="7"/>
      <c r="AU210" s="8"/>
      <c r="AV210" s="9"/>
      <c r="AX210" s="10"/>
      <c r="AY210" s="11"/>
      <c r="AZ210" s="12"/>
      <c r="BA210" s="13"/>
      <c r="BC210" s="6"/>
      <c r="BD210" s="7"/>
      <c r="BE210" s="8"/>
      <c r="BF210" s="9"/>
      <c r="BG210" s="4"/>
      <c r="BH210" s="46">
        <f t="shared" si="24"/>
        <v>1</v>
      </c>
      <c r="BI210" s="47">
        <f t="shared" si="25"/>
        <v>0.3</v>
      </c>
    </row>
    <row r="211" spans="1:61" x14ac:dyDescent="0.25">
      <c r="A211" s="40" t="s">
        <v>290</v>
      </c>
      <c r="B211" s="40" t="s">
        <v>53</v>
      </c>
      <c r="C211" s="40" t="s">
        <v>66</v>
      </c>
      <c r="D211" t="s">
        <v>62</v>
      </c>
      <c r="E211" s="6"/>
      <c r="F211" s="7"/>
      <c r="G211" s="8"/>
      <c r="H211" s="9"/>
      <c r="J211" s="10"/>
      <c r="K211" s="11"/>
      <c r="L211" s="12"/>
      <c r="M211" s="13"/>
      <c r="O211" s="6"/>
      <c r="P211" s="7"/>
      <c r="Q211" s="8"/>
      <c r="R211" s="9"/>
      <c r="T211" s="10"/>
      <c r="U211" s="11"/>
      <c r="V211" s="12"/>
      <c r="W211" s="13"/>
      <c r="Y211" s="6"/>
      <c r="Z211" s="7"/>
      <c r="AA211" s="8"/>
      <c r="AB211" s="9"/>
      <c r="AD211" s="10"/>
      <c r="AE211" s="11"/>
      <c r="AF211" s="12"/>
      <c r="AG211" s="13"/>
      <c r="AI211" s="6"/>
      <c r="AJ211" s="7"/>
      <c r="AK211" s="8"/>
      <c r="AL211" s="9"/>
      <c r="AN211" s="10">
        <v>3</v>
      </c>
      <c r="AO211" s="11"/>
      <c r="AP211" s="12"/>
      <c r="AQ211" s="13"/>
      <c r="AS211" s="6"/>
      <c r="AT211" s="7"/>
      <c r="AU211" s="8"/>
      <c r="AV211" s="9"/>
      <c r="AX211" s="10"/>
      <c r="AY211" s="11"/>
      <c r="AZ211" s="12"/>
      <c r="BA211" s="13"/>
      <c r="BC211" s="6"/>
      <c r="BD211" s="7"/>
      <c r="BE211" s="8"/>
      <c r="BF211" s="9"/>
      <c r="BG211" s="4"/>
      <c r="BH211" s="46">
        <f t="shared" si="24"/>
        <v>3</v>
      </c>
      <c r="BI211" s="47">
        <f t="shared" si="25"/>
        <v>0.89999999999999991</v>
      </c>
    </row>
    <row r="212" spans="1:61" x14ac:dyDescent="0.25">
      <c r="A212" s="40" t="s">
        <v>289</v>
      </c>
      <c r="B212" s="40" t="s">
        <v>53</v>
      </c>
      <c r="C212" s="40" t="s">
        <v>66</v>
      </c>
      <c r="D212" t="s">
        <v>54</v>
      </c>
      <c r="E212" s="6"/>
      <c r="F212" s="7"/>
      <c r="G212" s="8"/>
      <c r="H212" s="9"/>
      <c r="J212" s="10"/>
      <c r="K212" s="11"/>
      <c r="L212" s="12"/>
      <c r="M212" s="13">
        <v>1</v>
      </c>
      <c r="O212" s="6"/>
      <c r="P212" s="7"/>
      <c r="Q212" s="8"/>
      <c r="R212" s="9"/>
      <c r="T212" s="10"/>
      <c r="U212" s="11"/>
      <c r="V212" s="12"/>
      <c r="W212" s="13"/>
      <c r="Y212" s="6"/>
      <c r="Z212" s="7"/>
      <c r="AA212" s="8"/>
      <c r="AB212" s="9"/>
      <c r="AD212" s="10"/>
      <c r="AE212" s="11"/>
      <c r="AF212" s="12"/>
      <c r="AG212" s="13"/>
      <c r="AI212" s="6"/>
      <c r="AJ212" s="7"/>
      <c r="AK212" s="8"/>
      <c r="AL212" s="9"/>
      <c r="AN212" s="10"/>
      <c r="AO212" s="11"/>
      <c r="AP212" s="12"/>
      <c r="AQ212" s="13"/>
      <c r="AS212" s="6"/>
      <c r="AT212" s="7"/>
      <c r="AU212" s="8"/>
      <c r="AV212" s="9"/>
      <c r="AX212" s="10"/>
      <c r="AY212" s="11"/>
      <c r="AZ212" s="12"/>
      <c r="BA212" s="13"/>
      <c r="BC212" s="6"/>
      <c r="BD212" s="7"/>
      <c r="BE212" s="8"/>
      <c r="BF212" s="9"/>
      <c r="BG212" s="4"/>
      <c r="BH212" s="46">
        <f t="shared" si="24"/>
        <v>1</v>
      </c>
      <c r="BI212" s="47">
        <f t="shared" si="25"/>
        <v>0.3</v>
      </c>
    </row>
    <row r="213" spans="1:61" x14ac:dyDescent="0.25">
      <c r="A213" s="40" t="s">
        <v>400</v>
      </c>
      <c r="B213" s="40" t="s">
        <v>53</v>
      </c>
      <c r="C213" s="40" t="s">
        <v>66</v>
      </c>
      <c r="D213" t="s">
        <v>54</v>
      </c>
      <c r="E213" s="6"/>
      <c r="F213" s="7"/>
      <c r="G213" s="8"/>
      <c r="H213" s="9"/>
      <c r="J213" s="10"/>
      <c r="K213" s="11"/>
      <c r="L213" s="12"/>
      <c r="M213" s="13"/>
      <c r="O213" s="6"/>
      <c r="P213" s="7"/>
      <c r="Q213" s="8"/>
      <c r="R213" s="9"/>
      <c r="T213" s="10"/>
      <c r="U213" s="11"/>
      <c r="V213" s="12"/>
      <c r="W213" s="13"/>
      <c r="Y213" s="6"/>
      <c r="Z213" s="7"/>
      <c r="AA213" s="8"/>
      <c r="AB213" s="9"/>
      <c r="AD213" s="10"/>
      <c r="AE213" s="11"/>
      <c r="AF213" s="12"/>
      <c r="AG213" s="13"/>
      <c r="AI213" s="6"/>
      <c r="AJ213" s="7"/>
      <c r="AK213" s="8"/>
      <c r="AL213" s="9"/>
      <c r="AN213" s="10"/>
      <c r="AO213" s="11"/>
      <c r="AP213" s="12"/>
      <c r="AQ213" s="13"/>
      <c r="AS213" s="6"/>
      <c r="AT213" s="7"/>
      <c r="AU213" s="8"/>
      <c r="AV213" s="9"/>
      <c r="AX213" s="10"/>
      <c r="AY213" s="11"/>
      <c r="AZ213" s="12"/>
      <c r="BA213" s="13"/>
      <c r="BC213" s="6"/>
      <c r="BD213" s="7"/>
      <c r="BE213" s="8"/>
      <c r="BF213" s="9"/>
      <c r="BG213" s="4"/>
      <c r="BH213" s="46">
        <f t="shared" si="24"/>
        <v>0</v>
      </c>
      <c r="BI213" s="47">
        <f t="shared" si="25"/>
        <v>0</v>
      </c>
    </row>
    <row r="214" spans="1:61" x14ac:dyDescent="0.25">
      <c r="A214" s="40" t="s">
        <v>401</v>
      </c>
      <c r="B214" s="40" t="s">
        <v>53</v>
      </c>
      <c r="C214" s="40" t="s">
        <v>66</v>
      </c>
      <c r="D214" t="s">
        <v>54</v>
      </c>
      <c r="E214" s="6"/>
      <c r="F214" s="7"/>
      <c r="G214" s="8"/>
      <c r="H214" s="9"/>
      <c r="J214" s="10"/>
      <c r="K214" s="11"/>
      <c r="L214" s="12"/>
      <c r="M214" s="13"/>
      <c r="O214" s="6"/>
      <c r="P214" s="7"/>
      <c r="Q214" s="8"/>
      <c r="R214" s="9"/>
      <c r="T214" s="10"/>
      <c r="U214" s="11">
        <v>2</v>
      </c>
      <c r="V214" s="12"/>
      <c r="W214" s="13"/>
      <c r="Y214" s="6"/>
      <c r="Z214" s="7"/>
      <c r="AA214" s="8"/>
      <c r="AB214" s="9"/>
      <c r="AD214" s="10"/>
      <c r="AE214" s="11"/>
      <c r="AF214" s="12"/>
      <c r="AG214" s="13"/>
      <c r="AI214" s="6"/>
      <c r="AJ214" s="7">
        <v>2</v>
      </c>
      <c r="AK214" s="8"/>
      <c r="AL214" s="9">
        <v>4</v>
      </c>
      <c r="AN214" s="10"/>
      <c r="AO214" s="11"/>
      <c r="AP214" s="12"/>
      <c r="AQ214" s="13"/>
      <c r="AS214" s="6"/>
      <c r="AT214" s="7"/>
      <c r="AU214" s="8"/>
      <c r="AV214" s="9"/>
      <c r="AX214" s="10"/>
      <c r="AY214" s="11"/>
      <c r="AZ214" s="12"/>
      <c r="BA214" s="13"/>
      <c r="BC214" s="6"/>
      <c r="BD214" s="7"/>
      <c r="BE214" s="8"/>
      <c r="BF214" s="9"/>
      <c r="BG214" s="4"/>
      <c r="BH214" s="46">
        <f t="shared" ref="BH214" si="30">SUM(E214:BF214)</f>
        <v>8</v>
      </c>
      <c r="BI214" s="47">
        <f t="shared" ref="BI214" si="31">(SUM(E214:BG214)*$D$2)</f>
        <v>2.4</v>
      </c>
    </row>
    <row r="215" spans="1:61" x14ac:dyDescent="0.25">
      <c r="A215" s="40" t="s">
        <v>403</v>
      </c>
      <c r="B215" s="40" t="s">
        <v>53</v>
      </c>
      <c r="C215" s="40" t="s">
        <v>66</v>
      </c>
      <c r="D215" t="s">
        <v>54</v>
      </c>
      <c r="E215" s="6"/>
      <c r="F215" s="7"/>
      <c r="G215" s="8"/>
      <c r="H215" s="9"/>
      <c r="J215" s="10"/>
      <c r="K215" s="11"/>
      <c r="L215" s="12"/>
      <c r="M215" s="13">
        <v>3</v>
      </c>
      <c r="O215" s="6"/>
      <c r="P215" s="7"/>
      <c r="Q215" s="8"/>
      <c r="R215" s="9"/>
      <c r="T215" s="10"/>
      <c r="U215" s="11"/>
      <c r="V215" s="12"/>
      <c r="W215" s="13"/>
      <c r="Y215" s="6"/>
      <c r="Z215" s="7"/>
      <c r="AA215" s="8"/>
      <c r="AB215" s="9"/>
      <c r="AD215" s="10"/>
      <c r="AE215" s="11"/>
      <c r="AF215" s="12"/>
      <c r="AG215" s="13"/>
      <c r="AI215" s="6"/>
      <c r="AJ215" s="7"/>
      <c r="AK215" s="8"/>
      <c r="AL215" s="9"/>
      <c r="AN215" s="10"/>
      <c r="AO215" s="11"/>
      <c r="AP215" s="12"/>
      <c r="AQ215" s="13"/>
      <c r="AS215" s="6"/>
      <c r="AT215" s="7"/>
      <c r="AU215" s="8"/>
      <c r="AV215" s="9"/>
      <c r="AX215" s="10"/>
      <c r="AY215" s="11"/>
      <c r="AZ215" s="12"/>
      <c r="BA215" s="13"/>
      <c r="BC215" s="6"/>
      <c r="BD215" s="7"/>
      <c r="BE215" s="8"/>
      <c r="BF215" s="9"/>
      <c r="BG215" s="4"/>
      <c r="BH215" s="46">
        <f t="shared" si="24"/>
        <v>3</v>
      </c>
      <c r="BI215" s="47">
        <f t="shared" si="25"/>
        <v>0.89999999999999991</v>
      </c>
    </row>
    <row r="216" spans="1:61" x14ac:dyDescent="0.25">
      <c r="A216" s="40" t="s">
        <v>402</v>
      </c>
      <c r="B216" s="40">
        <v>7</v>
      </c>
      <c r="C216" s="40" t="s">
        <v>66</v>
      </c>
      <c r="E216" s="6">
        <v>7</v>
      </c>
      <c r="F216" s="7">
        <v>8</v>
      </c>
      <c r="G216" s="8">
        <v>6</v>
      </c>
      <c r="H216" s="9"/>
      <c r="J216" s="10">
        <v>5</v>
      </c>
      <c r="K216" s="11"/>
      <c r="L216" s="12">
        <v>6</v>
      </c>
      <c r="M216" s="13"/>
      <c r="O216" s="6"/>
      <c r="P216" s="7"/>
      <c r="Q216" s="8"/>
      <c r="R216" s="9"/>
      <c r="T216" s="10"/>
      <c r="U216" s="11">
        <v>7</v>
      </c>
      <c r="V216" s="12">
        <v>7</v>
      </c>
      <c r="W216" s="13">
        <v>5</v>
      </c>
      <c r="Y216" s="6"/>
      <c r="Z216" s="7"/>
      <c r="AA216" s="8"/>
      <c r="AB216" s="9"/>
      <c r="AD216" s="10"/>
      <c r="AE216" s="11"/>
      <c r="AF216" s="12"/>
      <c r="AG216" s="13">
        <v>5</v>
      </c>
      <c r="AI216" s="6"/>
      <c r="AJ216" s="7">
        <v>7</v>
      </c>
      <c r="AK216" s="8">
        <v>7</v>
      </c>
      <c r="AL216" s="9">
        <v>5</v>
      </c>
      <c r="AN216" s="10">
        <v>5</v>
      </c>
      <c r="AO216" s="11"/>
      <c r="AP216" s="12">
        <v>7</v>
      </c>
      <c r="AQ216" s="13"/>
      <c r="AS216" s="6"/>
      <c r="AT216" s="7"/>
      <c r="AU216" s="8"/>
      <c r="AV216" s="9"/>
      <c r="AX216" s="10"/>
      <c r="AY216" s="11"/>
      <c r="AZ216" s="12"/>
      <c r="BA216" s="13"/>
      <c r="BC216" s="6"/>
      <c r="BD216" s="7"/>
      <c r="BE216" s="8"/>
      <c r="BF216" s="9"/>
      <c r="BG216" s="4"/>
      <c r="BH216" s="46">
        <f t="shared" si="24"/>
        <v>87</v>
      </c>
      <c r="BI216" s="47">
        <f t="shared" si="25"/>
        <v>26.099999999999998</v>
      </c>
    </row>
    <row r="217" spans="1:61" x14ac:dyDescent="0.25">
      <c r="A217" s="40" t="s">
        <v>257</v>
      </c>
      <c r="B217" s="40">
        <v>7</v>
      </c>
      <c r="C217" s="40" t="s">
        <v>66</v>
      </c>
      <c r="E217" s="6"/>
      <c r="F217" s="7"/>
      <c r="G217" s="8"/>
      <c r="H217" s="9"/>
      <c r="J217" s="10"/>
      <c r="K217" s="11"/>
      <c r="L217" s="12"/>
      <c r="M217" s="13"/>
      <c r="O217" s="6"/>
      <c r="P217" s="7"/>
      <c r="Q217" s="8"/>
      <c r="R217" s="9"/>
      <c r="T217" s="10"/>
      <c r="U217" s="11"/>
      <c r="V217" s="12"/>
      <c r="W217" s="13"/>
      <c r="Y217" s="6"/>
      <c r="Z217" s="7"/>
      <c r="AA217" s="8"/>
      <c r="AB217" s="9"/>
      <c r="AD217" s="10"/>
      <c r="AE217" s="11"/>
      <c r="AF217" s="12"/>
      <c r="AG217" s="13"/>
      <c r="AI217" s="6"/>
      <c r="AJ217" s="7"/>
      <c r="AK217" s="8"/>
      <c r="AL217" s="9"/>
      <c r="AN217" s="10"/>
      <c r="AO217" s="11"/>
      <c r="AP217" s="12"/>
      <c r="AQ217" s="13"/>
      <c r="AS217" s="6"/>
      <c r="AT217" s="7"/>
      <c r="AU217" s="8"/>
      <c r="AV217" s="9"/>
      <c r="AX217" s="10"/>
      <c r="AY217" s="11"/>
      <c r="AZ217" s="12"/>
      <c r="BA217" s="13"/>
      <c r="BC217" s="6"/>
      <c r="BD217" s="7"/>
      <c r="BE217" s="8"/>
      <c r="BF217" s="9"/>
      <c r="BG217" s="4"/>
      <c r="BH217" s="46">
        <f t="shared" si="24"/>
        <v>0</v>
      </c>
      <c r="BI217" s="47">
        <f t="shared" si="25"/>
        <v>0</v>
      </c>
    </row>
    <row r="218" spans="1:61" x14ac:dyDescent="0.25">
      <c r="A218" s="40" t="s">
        <v>404</v>
      </c>
      <c r="B218" s="40">
        <v>7</v>
      </c>
      <c r="C218" s="40" t="s">
        <v>66</v>
      </c>
      <c r="E218" s="6"/>
      <c r="F218" s="7"/>
      <c r="G218" s="8"/>
      <c r="H218" s="9"/>
      <c r="J218" s="10"/>
      <c r="K218" s="11"/>
      <c r="L218" s="12"/>
      <c r="M218" s="13"/>
      <c r="O218" s="6"/>
      <c r="P218" s="7"/>
      <c r="Q218" s="8"/>
      <c r="R218" s="9"/>
      <c r="T218" s="10"/>
      <c r="U218" s="11"/>
      <c r="V218" s="12"/>
      <c r="W218" s="13"/>
      <c r="Y218" s="6"/>
      <c r="Z218" s="7"/>
      <c r="AA218" s="8"/>
      <c r="AB218" s="9"/>
      <c r="AD218" s="10"/>
      <c r="AE218" s="11"/>
      <c r="AF218" s="12"/>
      <c r="AG218" s="13"/>
      <c r="AI218" s="6"/>
      <c r="AJ218" s="7"/>
      <c r="AK218" s="8"/>
      <c r="AL218" s="9"/>
      <c r="AN218" s="10"/>
      <c r="AO218" s="11"/>
      <c r="AP218" s="12"/>
      <c r="AQ218" s="13"/>
      <c r="AS218" s="6"/>
      <c r="AT218" s="7"/>
      <c r="AU218" s="8"/>
      <c r="AV218" s="9"/>
      <c r="AX218" s="10"/>
      <c r="AY218" s="11"/>
      <c r="AZ218" s="12"/>
      <c r="BA218" s="13"/>
      <c r="BC218" s="6"/>
      <c r="BD218" s="7"/>
      <c r="BE218" s="8"/>
      <c r="BF218" s="9"/>
      <c r="BG218" s="4"/>
      <c r="BH218" s="46">
        <f t="shared" si="24"/>
        <v>0</v>
      </c>
      <c r="BI218" s="47">
        <f t="shared" si="25"/>
        <v>0</v>
      </c>
    </row>
    <row r="219" spans="1:61" x14ac:dyDescent="0.25">
      <c r="A219" s="40" t="s">
        <v>405</v>
      </c>
      <c r="B219" s="40">
        <v>7</v>
      </c>
      <c r="C219" s="40" t="s">
        <v>66</v>
      </c>
      <c r="E219" s="6"/>
      <c r="F219" s="7"/>
      <c r="G219" s="8"/>
      <c r="H219" s="9"/>
      <c r="J219" s="10"/>
      <c r="K219" s="11"/>
      <c r="L219" s="12"/>
      <c r="M219" s="13"/>
      <c r="O219" s="6"/>
      <c r="P219" s="7"/>
      <c r="Q219" s="8"/>
      <c r="R219" s="9"/>
      <c r="T219" s="10"/>
      <c r="U219" s="11"/>
      <c r="V219" s="12"/>
      <c r="W219" s="13"/>
      <c r="Y219" s="6"/>
      <c r="Z219" s="7"/>
      <c r="AA219" s="8"/>
      <c r="AB219" s="9"/>
      <c r="AD219" s="10"/>
      <c r="AE219" s="11"/>
      <c r="AF219" s="12"/>
      <c r="AG219" s="13">
        <v>2</v>
      </c>
      <c r="AI219" s="6"/>
      <c r="AJ219" s="7"/>
      <c r="AK219" s="8"/>
      <c r="AL219" s="9"/>
      <c r="AN219" s="10"/>
      <c r="AO219" s="11"/>
      <c r="AP219" s="12"/>
      <c r="AQ219" s="13"/>
      <c r="AS219" s="6"/>
      <c r="AT219" s="7"/>
      <c r="AU219" s="8"/>
      <c r="AV219" s="9"/>
      <c r="AX219" s="10"/>
      <c r="AY219" s="11"/>
      <c r="AZ219" s="12"/>
      <c r="BA219" s="13"/>
      <c r="BC219" s="6"/>
      <c r="BD219" s="7"/>
      <c r="BE219" s="8"/>
      <c r="BF219" s="9"/>
      <c r="BG219" s="4"/>
      <c r="BH219" s="46">
        <f t="shared" si="24"/>
        <v>2</v>
      </c>
      <c r="BI219" s="47">
        <f t="shared" si="25"/>
        <v>0.6</v>
      </c>
    </row>
    <row r="220" spans="1:61" x14ac:dyDescent="0.25">
      <c r="A220" s="40" t="s">
        <v>406</v>
      </c>
      <c r="B220" s="40">
        <v>8</v>
      </c>
      <c r="C220" s="40" t="s">
        <v>66</v>
      </c>
      <c r="E220" s="6"/>
      <c r="F220" s="7"/>
      <c r="G220" s="8"/>
      <c r="H220" s="9"/>
      <c r="J220" s="10"/>
      <c r="K220" s="11"/>
      <c r="L220" s="12"/>
      <c r="M220" s="13"/>
      <c r="O220" s="6"/>
      <c r="P220" s="7"/>
      <c r="Q220" s="8"/>
      <c r="R220" s="9"/>
      <c r="T220" s="10"/>
      <c r="U220" s="11"/>
      <c r="V220" s="12"/>
      <c r="W220" s="13"/>
      <c r="Y220" s="6"/>
      <c r="Z220" s="7"/>
      <c r="AA220" s="8"/>
      <c r="AB220" s="9"/>
      <c r="AD220" s="10"/>
      <c r="AE220" s="11"/>
      <c r="AF220" s="12"/>
      <c r="AG220" s="13"/>
      <c r="AI220" s="6"/>
      <c r="AJ220" s="7"/>
      <c r="AK220" s="8"/>
      <c r="AL220" s="9"/>
      <c r="AN220" s="10"/>
      <c r="AO220" s="11"/>
      <c r="AP220" s="12"/>
      <c r="AQ220" s="13"/>
      <c r="AS220" s="6"/>
      <c r="AT220" s="7"/>
      <c r="AU220" s="8"/>
      <c r="AV220" s="9"/>
      <c r="AX220" s="10"/>
      <c r="AY220" s="11"/>
      <c r="AZ220" s="12"/>
      <c r="BA220" s="13"/>
      <c r="BC220" s="6"/>
      <c r="BD220" s="7"/>
      <c r="BE220" s="8"/>
      <c r="BF220" s="9"/>
      <c r="BG220" s="4"/>
      <c r="BH220" s="46">
        <f t="shared" si="24"/>
        <v>0</v>
      </c>
      <c r="BI220" s="47">
        <f t="shared" si="25"/>
        <v>0</v>
      </c>
    </row>
    <row r="221" spans="1:61" x14ac:dyDescent="0.25">
      <c r="A221" s="40" t="s">
        <v>407</v>
      </c>
      <c r="B221" s="40">
        <v>8</v>
      </c>
      <c r="C221" s="40" t="s">
        <v>66</v>
      </c>
      <c r="E221" s="6"/>
      <c r="F221" s="7"/>
      <c r="G221" s="8"/>
      <c r="H221" s="9"/>
      <c r="J221" s="10"/>
      <c r="K221" s="11"/>
      <c r="L221" s="12"/>
      <c r="M221" s="13"/>
      <c r="O221" s="6"/>
      <c r="P221" s="7"/>
      <c r="Q221" s="8"/>
      <c r="R221" s="9"/>
      <c r="T221" s="10"/>
      <c r="U221" s="11"/>
      <c r="V221" s="12"/>
      <c r="W221" s="13"/>
      <c r="Y221" s="6"/>
      <c r="Z221" s="7"/>
      <c r="AA221" s="8"/>
      <c r="AB221" s="9"/>
      <c r="AD221" s="10"/>
      <c r="AE221" s="11"/>
      <c r="AF221" s="12"/>
      <c r="AG221" s="13"/>
      <c r="AI221" s="6"/>
      <c r="AJ221" s="7"/>
      <c r="AK221" s="8"/>
      <c r="AL221" s="9"/>
      <c r="AN221" s="10"/>
      <c r="AO221" s="11"/>
      <c r="AP221" s="12"/>
      <c r="AQ221" s="13"/>
      <c r="AS221" s="6"/>
      <c r="AT221" s="7"/>
      <c r="AU221" s="8"/>
      <c r="AV221" s="9"/>
      <c r="AX221" s="10"/>
      <c r="AY221" s="11"/>
      <c r="AZ221" s="12"/>
      <c r="BA221" s="13"/>
      <c r="BC221" s="6"/>
      <c r="BD221" s="7"/>
      <c r="BE221" s="8"/>
      <c r="BF221" s="9"/>
      <c r="BG221" s="4"/>
      <c r="BH221" s="46">
        <f t="shared" ref="BH221:BH241" si="32">SUM(E221:BF221)</f>
        <v>0</v>
      </c>
      <c r="BI221" s="47">
        <f t="shared" si="25"/>
        <v>0</v>
      </c>
    </row>
    <row r="222" spans="1:61" x14ac:dyDescent="0.25">
      <c r="A222" s="40" t="s">
        <v>352</v>
      </c>
      <c r="B222" s="40">
        <v>4</v>
      </c>
      <c r="C222" s="40" t="s">
        <v>66</v>
      </c>
      <c r="E222" s="6"/>
      <c r="F222" s="7"/>
      <c r="G222" s="8"/>
      <c r="H222" s="9"/>
      <c r="J222" s="10"/>
      <c r="K222" s="11"/>
      <c r="L222" s="12"/>
      <c r="M222" s="13"/>
      <c r="O222" s="6"/>
      <c r="P222" s="7"/>
      <c r="Q222" s="8"/>
      <c r="R222" s="9"/>
      <c r="T222" s="10"/>
      <c r="U222" s="11"/>
      <c r="V222" s="12"/>
      <c r="W222" s="13"/>
      <c r="Y222" s="6"/>
      <c r="Z222" s="7"/>
      <c r="AA222" s="8"/>
      <c r="AB222" s="9"/>
      <c r="AD222" s="10"/>
      <c r="AE222" s="11"/>
      <c r="AF222" s="12"/>
      <c r="AG222" s="13"/>
      <c r="AI222" s="6"/>
      <c r="AJ222" s="7"/>
      <c r="AK222" s="8"/>
      <c r="AL222" s="9"/>
      <c r="AN222" s="10"/>
      <c r="AO222" s="11"/>
      <c r="AP222" s="12"/>
      <c r="AQ222" s="13"/>
      <c r="AS222" s="6"/>
      <c r="AT222" s="7"/>
      <c r="AU222" s="8"/>
      <c r="AV222" s="9"/>
      <c r="AX222" s="10"/>
      <c r="AY222" s="11"/>
      <c r="AZ222" s="12"/>
      <c r="BA222" s="13"/>
      <c r="BC222" s="6"/>
      <c r="BD222" s="7"/>
      <c r="BE222" s="8"/>
      <c r="BF222" s="9"/>
      <c r="BG222" s="4"/>
      <c r="BH222" s="46">
        <f t="shared" si="32"/>
        <v>0</v>
      </c>
      <c r="BI222" s="47">
        <f t="shared" si="25"/>
        <v>0</v>
      </c>
    </row>
    <row r="223" spans="1:61" x14ac:dyDescent="0.25">
      <c r="A223" s="40" t="s">
        <v>417</v>
      </c>
      <c r="B223" s="40">
        <v>6</v>
      </c>
      <c r="C223" s="40" t="s">
        <v>66</v>
      </c>
      <c r="E223" s="6"/>
      <c r="F223" s="7"/>
      <c r="G223" s="8"/>
      <c r="H223" s="9"/>
      <c r="J223" s="10"/>
      <c r="K223" s="11"/>
      <c r="L223" s="12"/>
      <c r="M223" s="13"/>
      <c r="O223" s="6"/>
      <c r="P223" s="7"/>
      <c r="Q223" s="8"/>
      <c r="R223" s="9"/>
      <c r="T223" s="10"/>
      <c r="U223" s="11"/>
      <c r="V223" s="12"/>
      <c r="W223" s="13"/>
      <c r="Y223" s="6"/>
      <c r="Z223" s="7"/>
      <c r="AA223" s="8"/>
      <c r="AB223" s="9"/>
      <c r="AD223" s="10"/>
      <c r="AE223" s="11"/>
      <c r="AF223" s="12"/>
      <c r="AG223" s="13"/>
      <c r="AI223" s="6"/>
      <c r="AJ223" s="7"/>
      <c r="AK223" s="8"/>
      <c r="AL223" s="9"/>
      <c r="AN223" s="10"/>
      <c r="AO223" s="11"/>
      <c r="AP223" s="12"/>
      <c r="AQ223" s="13"/>
      <c r="AS223" s="6"/>
      <c r="AT223" s="7"/>
      <c r="AU223" s="8"/>
      <c r="AV223" s="9"/>
      <c r="AX223" s="10"/>
      <c r="AY223" s="11"/>
      <c r="AZ223" s="12"/>
      <c r="BA223" s="13"/>
      <c r="BC223" s="6"/>
      <c r="BD223" s="7"/>
      <c r="BE223" s="8"/>
      <c r="BF223" s="9"/>
      <c r="BG223" s="4"/>
      <c r="BH223" s="46">
        <f t="shared" si="32"/>
        <v>0</v>
      </c>
      <c r="BI223" s="47">
        <f t="shared" si="25"/>
        <v>0</v>
      </c>
    </row>
    <row r="224" spans="1:61" x14ac:dyDescent="0.25">
      <c r="A224" s="40" t="s">
        <v>421</v>
      </c>
      <c r="B224" s="40"/>
      <c r="C224" s="40" t="s">
        <v>66</v>
      </c>
      <c r="E224" s="6"/>
      <c r="F224" s="7"/>
      <c r="G224" s="8"/>
      <c r="H224" s="9"/>
      <c r="J224" s="10"/>
      <c r="K224" s="11"/>
      <c r="L224" s="12"/>
      <c r="M224" s="13"/>
      <c r="O224" s="6"/>
      <c r="P224" s="7"/>
      <c r="Q224" s="8"/>
      <c r="R224" s="9"/>
      <c r="T224" s="10"/>
      <c r="U224" s="11"/>
      <c r="V224" s="12"/>
      <c r="W224" s="13"/>
      <c r="Y224" s="6"/>
      <c r="Z224" s="7"/>
      <c r="AA224" s="8"/>
      <c r="AB224" s="9"/>
      <c r="AD224" s="10"/>
      <c r="AE224" s="11"/>
      <c r="AF224" s="12"/>
      <c r="AG224" s="13"/>
      <c r="AI224" s="6"/>
      <c r="AJ224" s="7"/>
      <c r="AK224" s="8"/>
      <c r="AL224" s="9"/>
      <c r="AN224" s="10"/>
      <c r="AO224" s="11"/>
      <c r="AP224" s="12"/>
      <c r="AQ224" s="13"/>
      <c r="AS224" s="6"/>
      <c r="AT224" s="7"/>
      <c r="AU224" s="8"/>
      <c r="AV224" s="9"/>
      <c r="AX224" s="10"/>
      <c r="AY224" s="11"/>
      <c r="AZ224" s="12"/>
      <c r="BA224" s="13"/>
      <c r="BC224" s="6"/>
      <c r="BD224" s="7"/>
      <c r="BE224" s="8"/>
      <c r="BF224" s="9"/>
      <c r="BG224" s="4"/>
      <c r="BH224" s="46">
        <f t="shared" si="32"/>
        <v>0</v>
      </c>
      <c r="BI224" s="47">
        <f t="shared" si="25"/>
        <v>0</v>
      </c>
    </row>
    <row r="225" spans="1:61" x14ac:dyDescent="0.25">
      <c r="A225" s="40" t="s">
        <v>423</v>
      </c>
      <c r="B225" s="40"/>
      <c r="C225" s="40" t="s">
        <v>66</v>
      </c>
      <c r="E225" s="6"/>
      <c r="F225" s="7"/>
      <c r="G225" s="8"/>
      <c r="H225" s="9"/>
      <c r="J225" s="10"/>
      <c r="K225" s="11"/>
      <c r="L225" s="12"/>
      <c r="M225" s="13"/>
      <c r="O225" s="6"/>
      <c r="P225" s="7"/>
      <c r="Q225" s="8"/>
      <c r="R225" s="9"/>
      <c r="T225" s="10"/>
      <c r="U225" s="11"/>
      <c r="V225" s="12"/>
      <c r="W225" s="13"/>
      <c r="Y225" s="6"/>
      <c r="Z225" s="7"/>
      <c r="AA225" s="8"/>
      <c r="AB225" s="9"/>
      <c r="AD225" s="10"/>
      <c r="AE225" s="11"/>
      <c r="AF225" s="12"/>
      <c r="AG225" s="13"/>
      <c r="AI225" s="6"/>
      <c r="AJ225" s="7"/>
      <c r="AK225" s="8"/>
      <c r="AL225" s="9"/>
      <c r="AN225" s="10"/>
      <c r="AO225" s="11"/>
      <c r="AP225" s="12"/>
      <c r="AQ225" s="13"/>
      <c r="AS225" s="6"/>
      <c r="AT225" s="7"/>
      <c r="AU225" s="8"/>
      <c r="AV225" s="9"/>
      <c r="AX225" s="10"/>
      <c r="AY225" s="11"/>
      <c r="AZ225" s="12"/>
      <c r="BA225" s="13"/>
      <c r="BC225" s="6"/>
      <c r="BD225" s="7"/>
      <c r="BE225" s="8"/>
      <c r="BF225" s="9"/>
      <c r="BG225" s="4"/>
      <c r="BH225" s="46">
        <f t="shared" si="32"/>
        <v>0</v>
      </c>
      <c r="BI225" s="47">
        <f t="shared" si="25"/>
        <v>0</v>
      </c>
    </row>
    <row r="226" spans="1:61" x14ac:dyDescent="0.25">
      <c r="A226" s="40" t="s">
        <v>434</v>
      </c>
      <c r="B226" s="40"/>
      <c r="C226" s="40" t="s">
        <v>66</v>
      </c>
      <c r="E226" s="6"/>
      <c r="F226" s="7"/>
      <c r="G226" s="8"/>
      <c r="H226" s="9"/>
      <c r="J226" s="10"/>
      <c r="K226" s="11"/>
      <c r="L226" s="12"/>
      <c r="M226" s="13"/>
      <c r="O226" s="6"/>
      <c r="P226" s="7"/>
      <c r="Q226" s="8"/>
      <c r="R226" s="9"/>
      <c r="T226" s="10"/>
      <c r="U226" s="11"/>
      <c r="V226" s="12"/>
      <c r="W226" s="13"/>
      <c r="Y226" s="6"/>
      <c r="Z226" s="7"/>
      <c r="AA226" s="8"/>
      <c r="AB226" s="9"/>
      <c r="AD226" s="10"/>
      <c r="AE226" s="11"/>
      <c r="AF226" s="12"/>
      <c r="AG226" s="13"/>
      <c r="AI226" s="6"/>
      <c r="AJ226" s="7"/>
      <c r="AK226" s="8"/>
      <c r="AL226" s="9"/>
      <c r="AN226" s="10"/>
      <c r="AO226" s="11"/>
      <c r="AP226" s="12"/>
      <c r="AQ226" s="13"/>
      <c r="AS226" s="6"/>
      <c r="AT226" s="7"/>
      <c r="AU226" s="8"/>
      <c r="AV226" s="9"/>
      <c r="AX226" s="10"/>
      <c r="AY226" s="11"/>
      <c r="AZ226" s="12"/>
      <c r="BA226" s="13"/>
      <c r="BC226" s="6"/>
      <c r="BD226" s="7"/>
      <c r="BE226" s="8"/>
      <c r="BF226" s="9"/>
      <c r="BG226" s="4"/>
      <c r="BH226" s="46">
        <f t="shared" si="32"/>
        <v>0</v>
      </c>
      <c r="BI226" s="47">
        <f t="shared" si="25"/>
        <v>0</v>
      </c>
    </row>
    <row r="227" spans="1:61" x14ac:dyDescent="0.25">
      <c r="A227" s="40" t="s">
        <v>435</v>
      </c>
      <c r="B227" s="40"/>
      <c r="C227" s="40" t="s">
        <v>66</v>
      </c>
      <c r="E227" s="6"/>
      <c r="F227" s="7"/>
      <c r="G227" s="8"/>
      <c r="H227" s="9"/>
      <c r="J227" s="10"/>
      <c r="K227" s="11"/>
      <c r="L227" s="12"/>
      <c r="M227" s="13"/>
      <c r="O227" s="6"/>
      <c r="P227" s="7"/>
      <c r="Q227" s="8"/>
      <c r="R227" s="9"/>
      <c r="T227" s="10"/>
      <c r="U227" s="11"/>
      <c r="V227" s="12"/>
      <c r="W227" s="13"/>
      <c r="Y227" s="6"/>
      <c r="Z227" s="7"/>
      <c r="AA227" s="8"/>
      <c r="AB227" s="9"/>
      <c r="AD227" s="10"/>
      <c r="AE227" s="11"/>
      <c r="AF227" s="12"/>
      <c r="AG227" s="13"/>
      <c r="AI227" s="6"/>
      <c r="AJ227" s="7"/>
      <c r="AK227" s="8"/>
      <c r="AL227" s="9"/>
      <c r="AN227" s="10"/>
      <c r="AO227" s="11"/>
      <c r="AP227" s="12"/>
      <c r="AQ227" s="13"/>
      <c r="AS227" s="6"/>
      <c r="AT227" s="7"/>
      <c r="AU227" s="8"/>
      <c r="AV227" s="9"/>
      <c r="AX227" s="10"/>
      <c r="AY227" s="11"/>
      <c r="AZ227" s="12"/>
      <c r="BA227" s="13"/>
      <c r="BC227" s="6"/>
      <c r="BD227" s="7"/>
      <c r="BE227" s="8"/>
      <c r="BF227" s="9"/>
      <c r="BG227" s="4"/>
      <c r="BH227" s="46">
        <f t="shared" si="32"/>
        <v>0</v>
      </c>
      <c r="BI227" s="47">
        <f t="shared" si="25"/>
        <v>0</v>
      </c>
    </row>
    <row r="228" spans="1:61" x14ac:dyDescent="0.25">
      <c r="A228" s="40" t="s">
        <v>440</v>
      </c>
      <c r="B228" s="40"/>
      <c r="C228" s="40" t="s">
        <v>66</v>
      </c>
      <c r="E228" s="6"/>
      <c r="F228" s="7"/>
      <c r="G228" s="8"/>
      <c r="H228" s="9"/>
      <c r="J228" s="10"/>
      <c r="K228" s="11"/>
      <c r="L228" s="12"/>
      <c r="M228" s="13"/>
      <c r="O228" s="6"/>
      <c r="P228" s="7"/>
      <c r="Q228" s="8"/>
      <c r="R228" s="9"/>
      <c r="T228" s="10"/>
      <c r="U228" s="11"/>
      <c r="V228" s="12"/>
      <c r="W228" s="13"/>
      <c r="Y228" s="6"/>
      <c r="Z228" s="7"/>
      <c r="AA228" s="8"/>
      <c r="AB228" s="9"/>
      <c r="AD228" s="10"/>
      <c r="AE228" s="11"/>
      <c r="AF228" s="12"/>
      <c r="AG228" s="13"/>
      <c r="AI228" s="6"/>
      <c r="AJ228" s="7"/>
      <c r="AK228" s="8"/>
      <c r="AL228" s="9"/>
      <c r="AN228" s="10"/>
      <c r="AO228" s="11"/>
      <c r="AP228" s="12"/>
      <c r="AQ228" s="13"/>
      <c r="AS228" s="6"/>
      <c r="AT228" s="7"/>
      <c r="AU228" s="8"/>
      <c r="AV228" s="9"/>
      <c r="AX228" s="10"/>
      <c r="AY228" s="11"/>
      <c r="AZ228" s="12"/>
      <c r="BA228" s="13"/>
      <c r="BC228" s="6"/>
      <c r="BD228" s="7"/>
      <c r="BE228" s="8"/>
      <c r="BF228" s="9"/>
      <c r="BG228" s="4"/>
      <c r="BH228" s="46">
        <f t="shared" si="32"/>
        <v>0</v>
      </c>
      <c r="BI228" s="47">
        <f t="shared" si="25"/>
        <v>0</v>
      </c>
    </row>
    <row r="229" spans="1:61" x14ac:dyDescent="0.25">
      <c r="A229" s="40" t="s">
        <v>436</v>
      </c>
      <c r="B229" s="40"/>
      <c r="C229" s="40" t="s">
        <v>66</v>
      </c>
      <c r="E229" s="6"/>
      <c r="F229" s="7"/>
      <c r="G229" s="8"/>
      <c r="H229" s="9"/>
      <c r="J229" s="10"/>
      <c r="K229" s="11"/>
      <c r="L229" s="12"/>
      <c r="M229" s="13"/>
      <c r="O229" s="6"/>
      <c r="P229" s="7"/>
      <c r="Q229" s="8"/>
      <c r="R229" s="9"/>
      <c r="T229" s="10"/>
      <c r="U229" s="11"/>
      <c r="V229" s="12"/>
      <c r="W229" s="13"/>
      <c r="Y229" s="6"/>
      <c r="Z229" s="7"/>
      <c r="AA229" s="8"/>
      <c r="AB229" s="9"/>
      <c r="AD229" s="10"/>
      <c r="AE229" s="11"/>
      <c r="AF229" s="12"/>
      <c r="AG229" s="13"/>
      <c r="AI229" s="6"/>
      <c r="AJ229" s="7"/>
      <c r="AK229" s="8"/>
      <c r="AL229" s="9"/>
      <c r="AN229" s="10"/>
      <c r="AO229" s="11"/>
      <c r="AP229" s="12"/>
      <c r="AQ229" s="13"/>
      <c r="AS229" s="6"/>
      <c r="AT229" s="7"/>
      <c r="AU229" s="8"/>
      <c r="AV229" s="9"/>
      <c r="AX229" s="10"/>
      <c r="AY229" s="11"/>
      <c r="AZ229" s="12"/>
      <c r="BA229" s="13"/>
      <c r="BC229" s="6"/>
      <c r="BD229" s="7"/>
      <c r="BE229" s="8"/>
      <c r="BF229" s="9"/>
      <c r="BG229" s="4"/>
      <c r="BH229" s="46">
        <f t="shared" si="32"/>
        <v>0</v>
      </c>
      <c r="BI229" s="47">
        <f t="shared" si="25"/>
        <v>0</v>
      </c>
    </row>
    <row r="230" spans="1:61" x14ac:dyDescent="0.25">
      <c r="A230" s="40" t="s">
        <v>437</v>
      </c>
      <c r="B230" s="40"/>
      <c r="C230" s="40" t="s">
        <v>66</v>
      </c>
      <c r="E230" s="6"/>
      <c r="F230" s="7"/>
      <c r="G230" s="8"/>
      <c r="H230" s="9"/>
      <c r="J230" s="10"/>
      <c r="K230" s="11"/>
      <c r="L230" s="12"/>
      <c r="M230" s="13"/>
      <c r="O230" s="6"/>
      <c r="P230" s="7"/>
      <c r="Q230" s="8"/>
      <c r="R230" s="9"/>
      <c r="T230" s="10"/>
      <c r="U230" s="11"/>
      <c r="V230" s="12"/>
      <c r="W230" s="13"/>
      <c r="Y230" s="6"/>
      <c r="Z230" s="7"/>
      <c r="AA230" s="8"/>
      <c r="AB230" s="9"/>
      <c r="AD230" s="10"/>
      <c r="AE230" s="11"/>
      <c r="AF230" s="12"/>
      <c r="AG230" s="13"/>
      <c r="AI230" s="6"/>
      <c r="AJ230" s="7"/>
      <c r="AK230" s="8"/>
      <c r="AL230" s="9"/>
      <c r="AN230" s="10"/>
      <c r="AO230" s="11"/>
      <c r="AP230" s="12"/>
      <c r="AQ230" s="13"/>
      <c r="AS230" s="6"/>
      <c r="AT230" s="7"/>
      <c r="AU230" s="8"/>
      <c r="AV230" s="9"/>
      <c r="AX230" s="10"/>
      <c r="AY230" s="11"/>
      <c r="AZ230" s="12"/>
      <c r="BA230" s="13"/>
      <c r="BC230" s="6"/>
      <c r="BD230" s="7"/>
      <c r="BE230" s="8"/>
      <c r="BF230" s="9"/>
      <c r="BG230" s="4"/>
      <c r="BH230" s="46">
        <f t="shared" si="32"/>
        <v>0</v>
      </c>
      <c r="BI230" s="47">
        <f t="shared" si="25"/>
        <v>0</v>
      </c>
    </row>
    <row r="231" spans="1:61" x14ac:dyDescent="0.25">
      <c r="A231" s="40" t="s">
        <v>438</v>
      </c>
      <c r="B231" s="40"/>
      <c r="C231" s="40" t="s">
        <v>66</v>
      </c>
      <c r="E231" s="6"/>
      <c r="F231" s="7"/>
      <c r="G231" s="8"/>
      <c r="H231" s="9"/>
      <c r="J231" s="10"/>
      <c r="K231" s="11"/>
      <c r="L231" s="12"/>
      <c r="M231" s="13"/>
      <c r="O231" s="6"/>
      <c r="P231" s="7"/>
      <c r="Q231" s="8"/>
      <c r="R231" s="9"/>
      <c r="T231" s="10"/>
      <c r="U231" s="11"/>
      <c r="V231" s="12"/>
      <c r="W231" s="13"/>
      <c r="Y231" s="6"/>
      <c r="Z231" s="7"/>
      <c r="AA231" s="8"/>
      <c r="AB231" s="9"/>
      <c r="AD231" s="10"/>
      <c r="AE231" s="11"/>
      <c r="AF231" s="12"/>
      <c r="AG231" s="13"/>
      <c r="AI231" s="6"/>
      <c r="AJ231" s="7"/>
      <c r="AK231" s="8"/>
      <c r="AL231" s="9"/>
      <c r="AN231" s="10"/>
      <c r="AO231" s="11"/>
      <c r="AP231" s="12"/>
      <c r="AQ231" s="13"/>
      <c r="AS231" s="6"/>
      <c r="AT231" s="7"/>
      <c r="AU231" s="8"/>
      <c r="AV231" s="9"/>
      <c r="AX231" s="10"/>
      <c r="AY231" s="11"/>
      <c r="AZ231" s="12"/>
      <c r="BA231" s="13"/>
      <c r="BC231" s="6"/>
      <c r="BD231" s="7"/>
      <c r="BE231" s="8"/>
      <c r="BF231" s="9"/>
      <c r="BG231" s="4"/>
      <c r="BH231" s="46">
        <f t="shared" si="32"/>
        <v>0</v>
      </c>
      <c r="BI231" s="47">
        <f t="shared" si="25"/>
        <v>0</v>
      </c>
    </row>
    <row r="232" spans="1:61" x14ac:dyDescent="0.25">
      <c r="A232" s="40" t="s">
        <v>439</v>
      </c>
      <c r="B232" s="40"/>
      <c r="C232" s="40" t="s">
        <v>66</v>
      </c>
      <c r="E232" s="6"/>
      <c r="F232" s="7"/>
      <c r="G232" s="8"/>
      <c r="H232" s="9"/>
      <c r="J232" s="10"/>
      <c r="K232" s="11"/>
      <c r="L232" s="12"/>
      <c r="M232" s="13"/>
      <c r="O232" s="6"/>
      <c r="P232" s="7"/>
      <c r="Q232" s="8"/>
      <c r="R232" s="9"/>
      <c r="T232" s="10"/>
      <c r="U232" s="11"/>
      <c r="V232" s="12"/>
      <c r="W232" s="13"/>
      <c r="Y232" s="6"/>
      <c r="Z232" s="7"/>
      <c r="AA232" s="8"/>
      <c r="AB232" s="9"/>
      <c r="AD232" s="10"/>
      <c r="AE232" s="11"/>
      <c r="AF232" s="12"/>
      <c r="AG232" s="13"/>
      <c r="AI232" s="6"/>
      <c r="AJ232" s="7"/>
      <c r="AK232" s="8"/>
      <c r="AL232" s="9"/>
      <c r="AN232" s="10"/>
      <c r="AO232" s="11"/>
      <c r="AP232" s="12"/>
      <c r="AQ232" s="13"/>
      <c r="AS232" s="6"/>
      <c r="AT232" s="7"/>
      <c r="AU232" s="8"/>
      <c r="AV232" s="9"/>
      <c r="AX232" s="10"/>
      <c r="AY232" s="11"/>
      <c r="AZ232" s="12"/>
      <c r="BA232" s="13"/>
      <c r="BC232" s="6"/>
      <c r="BD232" s="7"/>
      <c r="BE232" s="8"/>
      <c r="BF232" s="9"/>
      <c r="BG232" s="4"/>
      <c r="BH232" s="46">
        <f t="shared" si="32"/>
        <v>0</v>
      </c>
      <c r="BI232" s="47">
        <f t="shared" si="25"/>
        <v>0</v>
      </c>
    </row>
    <row r="233" spans="1:61" x14ac:dyDescent="0.25">
      <c r="A233" s="40" t="s">
        <v>441</v>
      </c>
      <c r="B233" s="40"/>
      <c r="C233" s="40" t="s">
        <v>66</v>
      </c>
      <c r="E233" s="6"/>
      <c r="F233" s="7"/>
      <c r="G233" s="8"/>
      <c r="H233" s="9"/>
      <c r="J233" s="10"/>
      <c r="K233" s="11"/>
      <c r="L233" s="12"/>
      <c r="M233" s="13"/>
      <c r="O233" s="6"/>
      <c r="P233" s="7"/>
      <c r="Q233" s="8"/>
      <c r="R233" s="9"/>
      <c r="T233" s="10"/>
      <c r="U233" s="11"/>
      <c r="V233" s="12"/>
      <c r="W233" s="13"/>
      <c r="Y233" s="6"/>
      <c r="Z233" s="7"/>
      <c r="AA233" s="8"/>
      <c r="AB233" s="9"/>
      <c r="AD233" s="10"/>
      <c r="AE233" s="11"/>
      <c r="AF233" s="12"/>
      <c r="AG233" s="13"/>
      <c r="AI233" s="6"/>
      <c r="AJ233" s="7"/>
      <c r="AK233" s="8"/>
      <c r="AL233" s="9"/>
      <c r="AN233" s="10"/>
      <c r="AO233" s="11"/>
      <c r="AP233" s="12"/>
      <c r="AQ233" s="13"/>
      <c r="AS233" s="6"/>
      <c r="AT233" s="7"/>
      <c r="AU233" s="8"/>
      <c r="AV233" s="9"/>
      <c r="AX233" s="10"/>
      <c r="AY233" s="11"/>
      <c r="AZ233" s="12"/>
      <c r="BA233" s="13"/>
      <c r="BC233" s="6"/>
      <c r="BD233" s="7"/>
      <c r="BE233" s="8"/>
      <c r="BF233" s="9"/>
      <c r="BG233" s="4"/>
      <c r="BH233" s="46">
        <f t="shared" si="32"/>
        <v>0</v>
      </c>
      <c r="BI233" s="47">
        <f t="shared" si="25"/>
        <v>0</v>
      </c>
    </row>
    <row r="234" spans="1:61" x14ac:dyDescent="0.25">
      <c r="A234" s="40" t="s">
        <v>216</v>
      </c>
      <c r="B234" s="40"/>
      <c r="C234" s="40" t="s">
        <v>66</v>
      </c>
      <c r="E234" s="6"/>
      <c r="F234" s="7"/>
      <c r="G234" s="8"/>
      <c r="H234" s="9"/>
      <c r="J234" s="10"/>
      <c r="K234" s="11"/>
      <c r="L234" s="12"/>
      <c r="M234" s="13"/>
      <c r="O234" s="6"/>
      <c r="P234" s="7"/>
      <c r="Q234" s="8"/>
      <c r="R234" s="9"/>
      <c r="T234" s="10"/>
      <c r="U234" s="11"/>
      <c r="V234" s="12"/>
      <c r="W234" s="13"/>
      <c r="Y234" s="6"/>
      <c r="Z234" s="7"/>
      <c r="AA234" s="8"/>
      <c r="AB234" s="9"/>
      <c r="AD234" s="10"/>
      <c r="AE234" s="11"/>
      <c r="AF234" s="12"/>
      <c r="AG234" s="13"/>
      <c r="AI234" s="6"/>
      <c r="AJ234" s="7"/>
      <c r="AK234" s="8"/>
      <c r="AL234" s="9"/>
      <c r="AN234" s="10"/>
      <c r="AO234" s="11"/>
      <c r="AP234" s="12"/>
      <c r="AQ234" s="13"/>
      <c r="AS234" s="6"/>
      <c r="AT234" s="7"/>
      <c r="AU234" s="8"/>
      <c r="AV234" s="9"/>
      <c r="AX234" s="10"/>
      <c r="AY234" s="11"/>
      <c r="AZ234" s="12"/>
      <c r="BA234" s="13"/>
      <c r="BC234" s="6"/>
      <c r="BD234" s="7"/>
      <c r="BE234" s="8"/>
      <c r="BF234" s="9"/>
      <c r="BG234" s="4"/>
      <c r="BH234" s="46">
        <f t="shared" si="32"/>
        <v>0</v>
      </c>
      <c r="BI234" s="47">
        <f t="shared" si="25"/>
        <v>0</v>
      </c>
    </row>
    <row r="235" spans="1:61" x14ac:dyDescent="0.25">
      <c r="A235" s="40" t="s">
        <v>408</v>
      </c>
      <c r="B235" s="40">
        <v>4</v>
      </c>
      <c r="C235" s="40" t="s">
        <v>66</v>
      </c>
      <c r="E235" s="6"/>
      <c r="F235" s="7"/>
      <c r="G235" s="8"/>
      <c r="H235" s="9"/>
      <c r="J235" s="10"/>
      <c r="K235" s="11"/>
      <c r="L235" s="12"/>
      <c r="M235" s="13"/>
      <c r="O235" s="6"/>
      <c r="P235" s="7"/>
      <c r="Q235" s="8"/>
      <c r="R235" s="9"/>
      <c r="T235" s="10"/>
      <c r="U235" s="11"/>
      <c r="V235" s="12"/>
      <c r="W235" s="13"/>
      <c r="Y235" s="6"/>
      <c r="Z235" s="7"/>
      <c r="AA235" s="8"/>
      <c r="AB235" s="9"/>
      <c r="AD235" s="10"/>
      <c r="AE235" s="11"/>
      <c r="AF235" s="12"/>
      <c r="AG235" s="13"/>
      <c r="AI235" s="6"/>
      <c r="AJ235" s="7"/>
      <c r="AK235" s="8"/>
      <c r="AL235" s="9"/>
      <c r="AN235" s="10"/>
      <c r="AO235" s="11"/>
      <c r="AP235" s="12"/>
      <c r="AQ235" s="13"/>
      <c r="AS235" s="6"/>
      <c r="AT235" s="7"/>
      <c r="AU235" s="8"/>
      <c r="AV235" s="9"/>
      <c r="AX235" s="10"/>
      <c r="AY235" s="11"/>
      <c r="AZ235" s="12"/>
      <c r="BA235" s="13"/>
      <c r="BC235" s="6"/>
      <c r="BD235" s="7"/>
      <c r="BE235" s="8"/>
      <c r="BF235" s="9"/>
      <c r="BG235" s="4"/>
      <c r="BH235" s="46">
        <f t="shared" ref="BH235:BH240" si="33">SUM(E235:BF235)</f>
        <v>0</v>
      </c>
      <c r="BI235" s="47">
        <f t="shared" ref="BI235:BI240" si="34">(SUM(E235:BG235)*$D$2)</f>
        <v>0</v>
      </c>
    </row>
    <row r="236" spans="1:61" x14ac:dyDescent="0.25">
      <c r="A236" s="40" t="s">
        <v>447</v>
      </c>
      <c r="B236" s="40"/>
      <c r="C236" s="40" t="s">
        <v>66</v>
      </c>
      <c r="E236" s="6"/>
      <c r="F236" s="7"/>
      <c r="G236" s="8"/>
      <c r="H236" s="9"/>
      <c r="J236" s="10"/>
      <c r="K236" s="11"/>
      <c r="L236" s="12"/>
      <c r="M236" s="13"/>
      <c r="O236" s="6"/>
      <c r="P236" s="7"/>
      <c r="Q236" s="8"/>
      <c r="R236" s="9"/>
      <c r="T236" s="10"/>
      <c r="U236" s="11"/>
      <c r="V236" s="12"/>
      <c r="W236" s="13"/>
      <c r="Y236" s="6"/>
      <c r="Z236" s="7"/>
      <c r="AA236" s="8"/>
      <c r="AB236" s="9"/>
      <c r="AD236" s="10"/>
      <c r="AE236" s="11"/>
      <c r="AF236" s="12"/>
      <c r="AG236" s="13"/>
      <c r="AI236" s="6"/>
      <c r="AJ236" s="7"/>
      <c r="AK236" s="8"/>
      <c r="AL236" s="9"/>
      <c r="AN236" s="10"/>
      <c r="AO236" s="11"/>
      <c r="AP236" s="12"/>
      <c r="AQ236" s="13"/>
      <c r="AS236" s="6"/>
      <c r="AT236" s="7"/>
      <c r="AU236" s="8"/>
      <c r="AV236" s="9"/>
      <c r="AX236" s="10"/>
      <c r="AY236" s="11"/>
      <c r="AZ236" s="12"/>
      <c r="BA236" s="13"/>
      <c r="BC236" s="6"/>
      <c r="BD236" s="7"/>
      <c r="BE236" s="8"/>
      <c r="BF236" s="9"/>
      <c r="BG236" s="4"/>
      <c r="BH236" s="46">
        <f t="shared" ref="BH236:BH238" si="35">SUM(E236:BF236)</f>
        <v>0</v>
      </c>
      <c r="BI236" s="47">
        <f t="shared" ref="BI236:BI238" si="36">(SUM(E236:BG236)*$D$2)</f>
        <v>0</v>
      </c>
    </row>
    <row r="237" spans="1:61" x14ac:dyDescent="0.25">
      <c r="A237" s="40" t="s">
        <v>448</v>
      </c>
      <c r="B237" s="40"/>
      <c r="C237" s="40" t="s">
        <v>66</v>
      </c>
      <c r="E237" s="6"/>
      <c r="F237" s="7"/>
      <c r="G237" s="8"/>
      <c r="H237" s="9"/>
      <c r="J237" s="10"/>
      <c r="K237" s="11"/>
      <c r="L237" s="12"/>
      <c r="M237" s="13"/>
      <c r="O237" s="6"/>
      <c r="P237" s="7"/>
      <c r="Q237" s="8"/>
      <c r="R237" s="9"/>
      <c r="T237" s="10"/>
      <c r="U237" s="11"/>
      <c r="V237" s="12"/>
      <c r="W237" s="13"/>
      <c r="Y237" s="6"/>
      <c r="Z237" s="7"/>
      <c r="AA237" s="8"/>
      <c r="AB237" s="9"/>
      <c r="AD237" s="10"/>
      <c r="AE237" s="11"/>
      <c r="AF237" s="12"/>
      <c r="AG237" s="13"/>
      <c r="AI237" s="6"/>
      <c r="AJ237" s="7"/>
      <c r="AK237" s="8"/>
      <c r="AL237" s="9"/>
      <c r="AN237" s="10"/>
      <c r="AO237" s="11"/>
      <c r="AP237" s="12"/>
      <c r="AQ237" s="13"/>
      <c r="AS237" s="6"/>
      <c r="AT237" s="7"/>
      <c r="AU237" s="8"/>
      <c r="AV237" s="9"/>
      <c r="AX237" s="10"/>
      <c r="AY237" s="11"/>
      <c r="AZ237" s="12"/>
      <c r="BA237" s="13"/>
      <c r="BC237" s="6"/>
      <c r="BD237" s="7"/>
      <c r="BE237" s="8"/>
      <c r="BF237" s="9"/>
      <c r="BG237" s="4"/>
      <c r="BH237" s="46">
        <f t="shared" si="35"/>
        <v>0</v>
      </c>
      <c r="BI237" s="47">
        <f t="shared" si="36"/>
        <v>0</v>
      </c>
    </row>
    <row r="238" spans="1:61" x14ac:dyDescent="0.25">
      <c r="A238" s="40" t="s">
        <v>449</v>
      </c>
      <c r="B238" s="40"/>
      <c r="C238" s="40" t="s">
        <v>66</v>
      </c>
      <c r="E238" s="6"/>
      <c r="F238" s="7"/>
      <c r="G238" s="8"/>
      <c r="H238" s="9"/>
      <c r="J238" s="10"/>
      <c r="K238" s="11"/>
      <c r="L238" s="12"/>
      <c r="M238" s="13"/>
      <c r="O238" s="6"/>
      <c r="P238" s="7"/>
      <c r="Q238" s="8"/>
      <c r="R238" s="9"/>
      <c r="T238" s="10"/>
      <c r="U238" s="11"/>
      <c r="V238" s="12"/>
      <c r="W238" s="13"/>
      <c r="Y238" s="6"/>
      <c r="Z238" s="7"/>
      <c r="AA238" s="8"/>
      <c r="AB238" s="9"/>
      <c r="AD238" s="10"/>
      <c r="AE238" s="11"/>
      <c r="AF238" s="12"/>
      <c r="AG238" s="13"/>
      <c r="AI238" s="6"/>
      <c r="AJ238" s="7"/>
      <c r="AK238" s="8"/>
      <c r="AL238" s="9"/>
      <c r="AN238" s="10"/>
      <c r="AO238" s="11"/>
      <c r="AP238" s="12"/>
      <c r="AQ238" s="13"/>
      <c r="AS238" s="6"/>
      <c r="AT238" s="7"/>
      <c r="AU238" s="8"/>
      <c r="AV238" s="9"/>
      <c r="AX238" s="10"/>
      <c r="AY238" s="11"/>
      <c r="AZ238" s="12"/>
      <c r="BA238" s="13"/>
      <c r="BC238" s="6"/>
      <c r="BD238" s="7"/>
      <c r="BE238" s="8"/>
      <c r="BF238" s="9"/>
      <c r="BG238" s="4"/>
      <c r="BH238" s="46">
        <f t="shared" si="35"/>
        <v>0</v>
      </c>
      <c r="BI238" s="47">
        <f t="shared" si="36"/>
        <v>0</v>
      </c>
    </row>
    <row r="239" spans="1:61" x14ac:dyDescent="0.25">
      <c r="A239" s="40" t="s">
        <v>453</v>
      </c>
      <c r="B239" s="40"/>
      <c r="C239" s="40" t="s">
        <v>66</v>
      </c>
      <c r="E239" s="6"/>
      <c r="F239" s="7"/>
      <c r="G239" s="8"/>
      <c r="H239" s="9"/>
      <c r="J239" s="10"/>
      <c r="K239" s="11"/>
      <c r="L239" s="12"/>
      <c r="M239" s="13"/>
      <c r="O239" s="6"/>
      <c r="P239" s="7"/>
      <c r="Q239" s="8"/>
      <c r="R239" s="9"/>
      <c r="T239" s="10"/>
      <c r="U239" s="11"/>
      <c r="V239" s="12"/>
      <c r="W239" s="13"/>
      <c r="Y239" s="6"/>
      <c r="Z239" s="7"/>
      <c r="AA239" s="8"/>
      <c r="AB239" s="9"/>
      <c r="AD239" s="10"/>
      <c r="AE239" s="11"/>
      <c r="AF239" s="12"/>
      <c r="AG239" s="13"/>
      <c r="AI239" s="6"/>
      <c r="AJ239" s="7"/>
      <c r="AK239" s="8"/>
      <c r="AL239" s="9"/>
      <c r="AN239" s="10"/>
      <c r="AO239" s="11"/>
      <c r="AP239" s="12"/>
      <c r="AQ239" s="13"/>
      <c r="AS239" s="6"/>
      <c r="AT239" s="7"/>
      <c r="AU239" s="8"/>
      <c r="AV239" s="9"/>
      <c r="AX239" s="10"/>
      <c r="AY239" s="11"/>
      <c r="AZ239" s="12"/>
      <c r="BA239" s="13"/>
      <c r="BC239" s="6"/>
      <c r="BD239" s="7"/>
      <c r="BE239" s="8"/>
      <c r="BF239" s="9"/>
      <c r="BG239" s="4"/>
      <c r="BH239" s="46">
        <f t="shared" si="33"/>
        <v>0</v>
      </c>
      <c r="BI239" s="47">
        <f t="shared" si="34"/>
        <v>0</v>
      </c>
    </row>
    <row r="240" spans="1:61" x14ac:dyDescent="0.25">
      <c r="A240" s="40" t="s">
        <v>454</v>
      </c>
      <c r="B240" s="40"/>
      <c r="C240" s="40" t="s">
        <v>66</v>
      </c>
      <c r="E240" s="6"/>
      <c r="F240" s="7"/>
      <c r="G240" s="8"/>
      <c r="H240" s="9"/>
      <c r="J240" s="10"/>
      <c r="K240" s="11"/>
      <c r="L240" s="12"/>
      <c r="M240" s="13"/>
      <c r="O240" s="6"/>
      <c r="P240" s="7"/>
      <c r="Q240" s="8"/>
      <c r="R240" s="9"/>
      <c r="T240" s="10"/>
      <c r="U240" s="11"/>
      <c r="V240" s="12"/>
      <c r="W240" s="13"/>
      <c r="Y240" s="6"/>
      <c r="Z240" s="7"/>
      <c r="AA240" s="8"/>
      <c r="AB240" s="9"/>
      <c r="AD240" s="10"/>
      <c r="AE240" s="11"/>
      <c r="AF240" s="12"/>
      <c r="AG240" s="13"/>
      <c r="AI240" s="6"/>
      <c r="AJ240" s="7"/>
      <c r="AK240" s="8"/>
      <c r="AL240" s="9"/>
      <c r="AN240" s="10"/>
      <c r="AO240" s="11"/>
      <c r="AP240" s="12"/>
      <c r="AQ240" s="13"/>
      <c r="AS240" s="6"/>
      <c r="AT240" s="7"/>
      <c r="AU240" s="8"/>
      <c r="AV240" s="9"/>
      <c r="AX240" s="10"/>
      <c r="AY240" s="11"/>
      <c r="AZ240" s="12"/>
      <c r="BA240" s="13"/>
      <c r="BC240" s="6"/>
      <c r="BD240" s="7"/>
      <c r="BE240" s="8"/>
      <c r="BF240" s="9"/>
      <c r="BG240" s="4"/>
      <c r="BH240" s="46">
        <f t="shared" si="33"/>
        <v>0</v>
      </c>
      <c r="BI240" s="47">
        <f t="shared" si="34"/>
        <v>0</v>
      </c>
    </row>
    <row r="241" spans="1:61" x14ac:dyDescent="0.25">
      <c r="A241" s="40" t="s">
        <v>456</v>
      </c>
      <c r="B241" s="40"/>
      <c r="C241" s="40" t="s">
        <v>66</v>
      </c>
      <c r="E241" s="6"/>
      <c r="F241" s="7"/>
      <c r="G241" s="8"/>
      <c r="H241" s="9"/>
      <c r="J241" s="10"/>
      <c r="K241" s="11"/>
      <c r="L241" s="12"/>
      <c r="M241" s="13"/>
      <c r="O241" s="6"/>
      <c r="P241" s="7"/>
      <c r="Q241" s="8"/>
      <c r="R241" s="9"/>
      <c r="T241" s="10"/>
      <c r="U241" s="11"/>
      <c r="V241" s="12"/>
      <c r="W241" s="13"/>
      <c r="Y241" s="6"/>
      <c r="Z241" s="7"/>
      <c r="AA241" s="8"/>
      <c r="AB241" s="9"/>
      <c r="AD241" s="10"/>
      <c r="AE241" s="11"/>
      <c r="AF241" s="12"/>
      <c r="AG241" s="13"/>
      <c r="AI241" s="6"/>
      <c r="AJ241" s="7"/>
      <c r="AK241" s="8"/>
      <c r="AL241" s="9"/>
      <c r="AN241" s="10"/>
      <c r="AO241" s="11"/>
      <c r="AP241" s="12"/>
      <c r="AQ241" s="13"/>
      <c r="AS241" s="6"/>
      <c r="AT241" s="7"/>
      <c r="AU241" s="8"/>
      <c r="AV241" s="9"/>
      <c r="AX241" s="10"/>
      <c r="AY241" s="11"/>
      <c r="AZ241" s="12"/>
      <c r="BA241" s="13"/>
      <c r="BC241" s="6"/>
      <c r="BD241" s="7"/>
      <c r="BE241" s="8"/>
      <c r="BF241" s="9"/>
      <c r="BG241" s="4"/>
      <c r="BH241" s="46">
        <f t="shared" si="32"/>
        <v>0</v>
      </c>
      <c r="BI241" s="47">
        <f t="shared" si="25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12CE-A604-467D-8EB3-702B5FE0B3ED}">
  <dimension ref="A1:BI177"/>
  <sheetViews>
    <sheetView topLeftCell="A147" workbookViewId="0">
      <selection activeCell="C183" sqref="C183"/>
    </sheetView>
  </sheetViews>
  <sheetFormatPr defaultRowHeight="15" x14ac:dyDescent="0.25"/>
  <cols>
    <col min="1" max="1" width="25.85546875" customWidth="1"/>
    <col min="2" max="2" width="19.140625" bestFit="1" customWidth="1"/>
    <col min="3" max="3" width="8.140625" bestFit="1" customWidth="1"/>
    <col min="4" max="4" width="10.42578125" bestFit="1" customWidth="1"/>
    <col min="9" max="9" width="1.7109375" style="4" customWidth="1"/>
    <col min="14" max="14" width="1.85546875" style="4" customWidth="1"/>
    <col min="19" max="19" width="1.85546875" style="4" customWidth="1"/>
    <col min="24" max="24" width="2.140625" style="4" customWidth="1"/>
    <col min="29" max="29" width="2" style="4" customWidth="1"/>
    <col min="34" max="34" width="1.5703125" style="4" customWidth="1"/>
    <col min="39" max="39" width="2" style="4" customWidth="1"/>
    <col min="44" max="44" width="1.42578125" style="4" customWidth="1"/>
    <col min="49" max="49" width="1.7109375" style="4" customWidth="1"/>
    <col min="54" max="54" width="1.85546875" style="4" customWidth="1"/>
    <col min="55" max="55" width="8.140625" style="46" bestFit="1" customWidth="1"/>
    <col min="56" max="56" width="10.5703125" style="47" bestFit="1" customWidth="1"/>
    <col min="60" max="60" width="14.140625" bestFit="1" customWidth="1"/>
    <col min="61" max="61" width="22.140625" bestFit="1" customWidth="1"/>
  </cols>
  <sheetData>
    <row r="1" spans="1:61" ht="23.25" x14ac:dyDescent="0.35">
      <c r="A1" s="3" t="s">
        <v>80</v>
      </c>
    </row>
    <row r="2" spans="1:61" x14ac:dyDescent="0.25">
      <c r="B2" s="2" t="s">
        <v>13</v>
      </c>
      <c r="D2" s="2">
        <v>0.3</v>
      </c>
      <c r="F2" s="2"/>
      <c r="G2" s="2"/>
      <c r="H2" s="2"/>
      <c r="I2" s="5"/>
      <c r="K2" s="2"/>
      <c r="L2" s="2"/>
      <c r="M2" s="2"/>
      <c r="N2" s="5"/>
      <c r="P2" s="2"/>
      <c r="Q2" s="2"/>
    </row>
    <row r="3" spans="1:61" x14ac:dyDescent="0.25">
      <c r="C3" s="1"/>
      <c r="E3" s="16" t="s">
        <v>339</v>
      </c>
      <c r="F3" s="16"/>
      <c r="G3" s="16"/>
      <c r="H3" s="16"/>
      <c r="J3" s="14" t="s">
        <v>3</v>
      </c>
      <c r="K3" s="14"/>
      <c r="L3" s="14"/>
      <c r="M3" s="14"/>
      <c r="N3" s="15"/>
      <c r="O3" s="16" t="s">
        <v>4</v>
      </c>
      <c r="P3" s="16"/>
      <c r="Q3" s="16"/>
      <c r="R3" s="16"/>
      <c r="S3" s="15"/>
      <c r="T3" s="14" t="s">
        <v>5</v>
      </c>
      <c r="U3" s="14"/>
      <c r="V3" s="14"/>
      <c r="W3" s="14"/>
      <c r="X3" s="15"/>
      <c r="Y3" s="16" t="s">
        <v>6</v>
      </c>
      <c r="Z3" s="16"/>
      <c r="AA3" s="16"/>
      <c r="AB3" s="16"/>
      <c r="AC3" s="15"/>
      <c r="AD3" s="14" t="s">
        <v>7</v>
      </c>
      <c r="AE3" s="14"/>
      <c r="AF3" s="14"/>
      <c r="AG3" s="14"/>
      <c r="AH3" s="15"/>
      <c r="AI3" s="16" t="s">
        <v>8</v>
      </c>
      <c r="AJ3" s="16"/>
      <c r="AK3" s="16"/>
      <c r="AL3" s="16"/>
      <c r="AM3" s="15"/>
      <c r="AN3" s="14" t="s">
        <v>9</v>
      </c>
      <c r="AO3" s="14"/>
      <c r="AP3" s="14"/>
      <c r="AQ3" s="14"/>
      <c r="AR3" s="15"/>
      <c r="AS3" s="16" t="s">
        <v>10</v>
      </c>
      <c r="AT3" s="16"/>
      <c r="AU3" s="16"/>
      <c r="AV3" s="16"/>
      <c r="AW3" s="15"/>
      <c r="AX3" s="14" t="s">
        <v>11</v>
      </c>
      <c r="AY3" s="14"/>
      <c r="AZ3" s="14"/>
      <c r="BA3" s="14"/>
      <c r="BB3" s="15"/>
      <c r="BC3" s="16" t="s">
        <v>12</v>
      </c>
      <c r="BD3" s="16"/>
      <c r="BE3" s="16"/>
      <c r="BF3" s="16"/>
      <c r="BG3" s="15"/>
      <c r="BH3" s="48"/>
      <c r="BI3" s="47"/>
    </row>
    <row r="4" spans="1:61" x14ac:dyDescent="0.25">
      <c r="A4" t="s">
        <v>0</v>
      </c>
      <c r="B4" t="s">
        <v>68</v>
      </c>
      <c r="C4" t="s">
        <v>1</v>
      </c>
      <c r="D4" t="s">
        <v>2</v>
      </c>
      <c r="E4" s="21" t="s">
        <v>81</v>
      </c>
      <c r="F4" s="22" t="s">
        <v>82</v>
      </c>
      <c r="G4" s="23" t="s">
        <v>83</v>
      </c>
      <c r="H4" s="24" t="s">
        <v>84</v>
      </c>
      <c r="J4" s="17" t="s">
        <v>81</v>
      </c>
      <c r="K4" s="18" t="s">
        <v>82</v>
      </c>
      <c r="L4" s="19" t="s">
        <v>83</v>
      </c>
      <c r="M4" s="20" t="s">
        <v>84</v>
      </c>
      <c r="N4" s="15"/>
      <c r="O4" s="21" t="s">
        <v>81</v>
      </c>
      <c r="P4" s="22" t="s">
        <v>82</v>
      </c>
      <c r="Q4" s="23" t="s">
        <v>83</v>
      </c>
      <c r="R4" s="24" t="s">
        <v>84</v>
      </c>
      <c r="S4" s="15"/>
      <c r="T4" s="17" t="s">
        <v>81</v>
      </c>
      <c r="U4" s="18" t="s">
        <v>82</v>
      </c>
      <c r="V4" s="19" t="s">
        <v>83</v>
      </c>
      <c r="W4" s="20" t="s">
        <v>84</v>
      </c>
      <c r="X4" s="15"/>
      <c r="Y4" s="21" t="s">
        <v>81</v>
      </c>
      <c r="Z4" s="22" t="s">
        <v>82</v>
      </c>
      <c r="AA4" s="23" t="s">
        <v>83</v>
      </c>
      <c r="AB4" s="24" t="s">
        <v>84</v>
      </c>
      <c r="AC4" s="15"/>
      <c r="AD4" s="17" t="s">
        <v>81</v>
      </c>
      <c r="AE4" s="18" t="s">
        <v>82</v>
      </c>
      <c r="AF4" s="19" t="s">
        <v>83</v>
      </c>
      <c r="AG4" s="20" t="s">
        <v>84</v>
      </c>
      <c r="AH4" s="15"/>
      <c r="AI4" s="21" t="s">
        <v>81</v>
      </c>
      <c r="AJ4" s="22" t="s">
        <v>82</v>
      </c>
      <c r="AK4" s="23" t="s">
        <v>83</v>
      </c>
      <c r="AL4" s="24" t="s">
        <v>84</v>
      </c>
      <c r="AM4" s="15"/>
      <c r="AN4" s="17" t="s">
        <v>81</v>
      </c>
      <c r="AO4" s="18" t="s">
        <v>82</v>
      </c>
      <c r="AP4" s="19" t="s">
        <v>83</v>
      </c>
      <c r="AQ4" s="20" t="s">
        <v>84</v>
      </c>
      <c r="AR4" s="15"/>
      <c r="AS4" s="21" t="s">
        <v>81</v>
      </c>
      <c r="AT4" s="22" t="s">
        <v>82</v>
      </c>
      <c r="AU4" s="23" t="s">
        <v>83</v>
      </c>
      <c r="AV4" s="24" t="s">
        <v>84</v>
      </c>
      <c r="AW4" s="15"/>
      <c r="AX4" s="17" t="s">
        <v>81</v>
      </c>
      <c r="AY4" s="18" t="s">
        <v>82</v>
      </c>
      <c r="AZ4" s="19" t="s">
        <v>83</v>
      </c>
      <c r="BA4" s="20" t="s">
        <v>84</v>
      </c>
      <c r="BB4" s="15"/>
      <c r="BC4" s="21" t="s">
        <v>81</v>
      </c>
      <c r="BD4" s="22" t="s">
        <v>82</v>
      </c>
      <c r="BE4" s="23" t="s">
        <v>83</v>
      </c>
      <c r="BF4" s="24" t="s">
        <v>84</v>
      </c>
      <c r="BG4" s="15"/>
      <c r="BH4" s="48" t="s">
        <v>167</v>
      </c>
      <c r="BI4" s="49" t="s">
        <v>168</v>
      </c>
    </row>
    <row r="5" spans="1:61" x14ac:dyDescent="0.25">
      <c r="A5" s="44" t="s">
        <v>228</v>
      </c>
      <c r="B5" s="45">
        <v>1</v>
      </c>
      <c r="C5" s="44" t="s">
        <v>49</v>
      </c>
      <c r="D5" t="s">
        <v>52</v>
      </c>
      <c r="E5" s="6"/>
      <c r="F5" s="7"/>
      <c r="G5" s="8"/>
      <c r="H5" s="9"/>
      <c r="J5" s="10"/>
      <c r="K5" s="11"/>
      <c r="L5" s="12"/>
      <c r="M5" s="13"/>
      <c r="O5" s="6"/>
      <c r="P5" s="7"/>
      <c r="Q5" s="8"/>
      <c r="R5" s="9"/>
      <c r="T5" s="10"/>
      <c r="U5" s="11"/>
      <c r="V5" s="12"/>
      <c r="W5" s="13"/>
      <c r="Y5" s="6"/>
      <c r="Z5" s="7"/>
      <c r="AA5" s="8"/>
      <c r="AB5" s="9"/>
      <c r="AD5" s="10"/>
      <c r="AE5" s="11"/>
      <c r="AF5" s="12"/>
      <c r="AG5" s="13"/>
      <c r="AI5" s="6"/>
      <c r="AJ5" s="7"/>
      <c r="AK5" s="8"/>
      <c r="AL5" s="9"/>
      <c r="AN5" s="10"/>
      <c r="AO5" s="11"/>
      <c r="AP5" s="12"/>
      <c r="AQ5" s="13"/>
      <c r="AS5" s="6"/>
      <c r="AT5" s="7"/>
      <c r="AU5" s="8"/>
      <c r="AV5" s="9"/>
      <c r="AX5" s="10"/>
      <c r="AY5" s="11"/>
      <c r="AZ5" s="12"/>
      <c r="BA5" s="13"/>
      <c r="BC5" s="6"/>
      <c r="BD5" s="7"/>
      <c r="BE5" s="8"/>
      <c r="BF5" s="9"/>
      <c r="BG5" s="4"/>
      <c r="BH5" s="46">
        <f>SUM(E5:BF5)</f>
        <v>0</v>
      </c>
      <c r="BI5" s="47">
        <f>(SUM(E5:BG5)*$D$2)</f>
        <v>0</v>
      </c>
    </row>
    <row r="6" spans="1:61" x14ac:dyDescent="0.25">
      <c r="A6" s="44" t="s">
        <v>229</v>
      </c>
      <c r="B6" s="44">
        <v>2</v>
      </c>
      <c r="C6" s="44" t="s">
        <v>49</v>
      </c>
      <c r="D6" t="s">
        <v>52</v>
      </c>
      <c r="E6" s="6"/>
      <c r="F6" s="7"/>
      <c r="G6" s="8"/>
      <c r="H6" s="9"/>
      <c r="J6" s="10"/>
      <c r="K6" s="11"/>
      <c r="L6" s="12"/>
      <c r="M6" s="13"/>
      <c r="O6" s="6"/>
      <c r="P6" s="7"/>
      <c r="Q6" s="8"/>
      <c r="R6" s="9"/>
      <c r="T6" s="10"/>
      <c r="U6" s="11"/>
      <c r="V6" s="12"/>
      <c r="W6" s="13"/>
      <c r="Y6" s="6"/>
      <c r="Z6" s="7"/>
      <c r="AA6" s="8"/>
      <c r="AB6" s="9"/>
      <c r="AD6" s="10"/>
      <c r="AE6" s="11"/>
      <c r="AF6" s="12"/>
      <c r="AG6" s="13"/>
      <c r="AI6" s="6"/>
      <c r="AJ6" s="7"/>
      <c r="AK6" s="8"/>
      <c r="AL6" s="9"/>
      <c r="AN6" s="10"/>
      <c r="AO6" s="11"/>
      <c r="AP6" s="12"/>
      <c r="AQ6" s="13"/>
      <c r="AS6" s="6"/>
      <c r="AT6" s="7"/>
      <c r="AU6" s="8"/>
      <c r="AV6" s="9"/>
      <c r="AX6" s="10"/>
      <c r="AY6" s="11"/>
      <c r="AZ6" s="12"/>
      <c r="BA6" s="13"/>
      <c r="BC6" s="6"/>
      <c r="BD6" s="7"/>
      <c r="BE6" s="8"/>
      <c r="BF6" s="9"/>
      <c r="BG6" s="4"/>
      <c r="BH6" s="46">
        <f t="shared" ref="BH6:BH69" si="0">SUM(E6:BF6)</f>
        <v>0</v>
      </c>
      <c r="BI6" s="47">
        <f t="shared" ref="BI6:BI69" si="1">(SUM(E6:BG6)*$D$2)</f>
        <v>0</v>
      </c>
    </row>
    <row r="7" spans="1:61" x14ac:dyDescent="0.25">
      <c r="A7" s="44" t="s">
        <v>230</v>
      </c>
      <c r="B7" s="45">
        <v>2</v>
      </c>
      <c r="C7" s="44" t="s">
        <v>49</v>
      </c>
      <c r="D7" t="s">
        <v>52</v>
      </c>
      <c r="E7" s="6"/>
      <c r="F7" s="7"/>
      <c r="G7" s="8"/>
      <c r="H7" s="9"/>
      <c r="J7" s="10"/>
      <c r="K7" s="11"/>
      <c r="L7" s="12"/>
      <c r="M7" s="13"/>
      <c r="O7" s="6"/>
      <c r="P7" s="7"/>
      <c r="Q7" s="8"/>
      <c r="R7" s="9"/>
      <c r="T7" s="10"/>
      <c r="U7" s="11"/>
      <c r="V7" s="12"/>
      <c r="W7" s="13"/>
      <c r="Y7" s="6"/>
      <c r="Z7" s="7"/>
      <c r="AA7" s="8"/>
      <c r="AB7" s="9"/>
      <c r="AD7" s="10"/>
      <c r="AE7" s="11"/>
      <c r="AF7" s="12"/>
      <c r="AG7" s="13"/>
      <c r="AI7" s="6"/>
      <c r="AJ7" s="7"/>
      <c r="AK7" s="8"/>
      <c r="AL7" s="9"/>
      <c r="AN7" s="10"/>
      <c r="AO7" s="11"/>
      <c r="AP7" s="12"/>
      <c r="AQ7" s="13"/>
      <c r="AS7" s="6"/>
      <c r="AT7" s="7"/>
      <c r="AU7" s="8"/>
      <c r="AV7" s="9"/>
      <c r="AX7" s="10"/>
      <c r="AY7" s="11"/>
      <c r="AZ7" s="12"/>
      <c r="BA7" s="13"/>
      <c r="BC7" s="6"/>
      <c r="BD7" s="7"/>
      <c r="BE7" s="8"/>
      <c r="BF7" s="9"/>
      <c r="BG7" s="4"/>
      <c r="BH7" s="46">
        <f t="shared" si="0"/>
        <v>0</v>
      </c>
      <c r="BI7" s="47">
        <f t="shared" si="1"/>
        <v>0</v>
      </c>
    </row>
    <row r="8" spans="1:61" x14ac:dyDescent="0.25">
      <c r="A8" s="44" t="s">
        <v>231</v>
      </c>
      <c r="B8" s="45">
        <v>2</v>
      </c>
      <c r="C8" s="44" t="s">
        <v>49</v>
      </c>
      <c r="D8" t="s">
        <v>52</v>
      </c>
      <c r="E8" s="6"/>
      <c r="F8" s="7"/>
      <c r="G8" s="8"/>
      <c r="H8" s="9"/>
      <c r="J8" s="10"/>
      <c r="K8" s="11"/>
      <c r="L8" s="12"/>
      <c r="M8" s="13"/>
      <c r="O8" s="6"/>
      <c r="P8" s="7"/>
      <c r="Q8" s="8"/>
      <c r="R8" s="9"/>
      <c r="T8" s="10"/>
      <c r="U8" s="11"/>
      <c r="V8" s="12"/>
      <c r="W8" s="13"/>
      <c r="Y8" s="6"/>
      <c r="Z8" s="7"/>
      <c r="AA8" s="8"/>
      <c r="AB8" s="9"/>
      <c r="AD8" s="10"/>
      <c r="AE8" s="11"/>
      <c r="AF8" s="12"/>
      <c r="AG8" s="13"/>
      <c r="AI8" s="6"/>
      <c r="AJ8" s="7"/>
      <c r="AK8" s="8"/>
      <c r="AL8" s="9"/>
      <c r="AN8" s="10"/>
      <c r="AO8" s="11"/>
      <c r="AP8" s="12"/>
      <c r="AQ8" s="13"/>
      <c r="AS8" s="6"/>
      <c r="AT8" s="7"/>
      <c r="AU8" s="8"/>
      <c r="AV8" s="9"/>
      <c r="AX8" s="10"/>
      <c r="AY8" s="11"/>
      <c r="AZ8" s="12"/>
      <c r="BA8" s="13"/>
      <c r="BC8" s="6"/>
      <c r="BD8" s="7"/>
      <c r="BE8" s="8"/>
      <c r="BF8" s="9"/>
      <c r="BG8" s="4"/>
      <c r="BH8" s="46">
        <f t="shared" si="0"/>
        <v>0</v>
      </c>
      <c r="BI8" s="47">
        <f t="shared" si="1"/>
        <v>0</v>
      </c>
    </row>
    <row r="9" spans="1:61" x14ac:dyDescent="0.25">
      <c r="A9" s="44" t="s">
        <v>247</v>
      </c>
      <c r="B9" s="45">
        <v>2</v>
      </c>
      <c r="C9" s="44" t="s">
        <v>49</v>
      </c>
      <c r="D9" t="s">
        <v>52</v>
      </c>
      <c r="E9" s="6"/>
      <c r="F9" s="7"/>
      <c r="G9" s="8"/>
      <c r="H9" s="9"/>
      <c r="J9" s="10"/>
      <c r="K9" s="11"/>
      <c r="L9" s="12"/>
      <c r="M9" s="13"/>
      <c r="O9" s="6"/>
      <c r="P9" s="7"/>
      <c r="Q9" s="8"/>
      <c r="R9" s="9"/>
      <c r="T9" s="10"/>
      <c r="U9" s="11"/>
      <c r="V9" s="12"/>
      <c r="W9" s="13"/>
      <c r="Y9" s="6"/>
      <c r="Z9" s="7"/>
      <c r="AA9" s="8"/>
      <c r="AB9" s="9"/>
      <c r="AD9" s="10"/>
      <c r="AE9" s="11"/>
      <c r="AF9" s="12"/>
      <c r="AG9" s="13"/>
      <c r="AI9" s="6"/>
      <c r="AJ9" s="7"/>
      <c r="AK9" s="8"/>
      <c r="AL9" s="9"/>
      <c r="AN9" s="10"/>
      <c r="AO9" s="11"/>
      <c r="AP9" s="12"/>
      <c r="AQ9" s="13"/>
      <c r="AS9" s="6"/>
      <c r="AT9" s="7"/>
      <c r="AU9" s="8"/>
      <c r="AV9" s="9"/>
      <c r="AX9" s="10"/>
      <c r="AY9" s="11"/>
      <c r="AZ9" s="12"/>
      <c r="BA9" s="13"/>
      <c r="BC9" s="6"/>
      <c r="BD9" s="7"/>
      <c r="BE9" s="8"/>
      <c r="BF9" s="9"/>
      <c r="BG9" s="4"/>
      <c r="BH9" s="46">
        <f t="shared" si="0"/>
        <v>0</v>
      </c>
      <c r="BI9" s="47">
        <f t="shared" si="1"/>
        <v>0</v>
      </c>
    </row>
    <row r="10" spans="1:61" x14ac:dyDescent="0.25">
      <c r="A10" s="44" t="s">
        <v>248</v>
      </c>
      <c r="B10" s="45">
        <v>2</v>
      </c>
      <c r="C10" s="44" t="s">
        <v>49</v>
      </c>
      <c r="D10" t="s">
        <v>52</v>
      </c>
      <c r="E10" s="6"/>
      <c r="F10" s="7"/>
      <c r="G10" s="8"/>
      <c r="H10" s="9"/>
      <c r="J10" s="10"/>
      <c r="K10" s="11"/>
      <c r="L10" s="12"/>
      <c r="M10" s="13"/>
      <c r="O10" s="6"/>
      <c r="P10" s="7"/>
      <c r="Q10" s="8"/>
      <c r="R10" s="9"/>
      <c r="T10" s="10"/>
      <c r="U10" s="11"/>
      <c r="V10" s="12"/>
      <c r="W10" s="13"/>
      <c r="Y10" s="6"/>
      <c r="Z10" s="7"/>
      <c r="AA10" s="8"/>
      <c r="AB10" s="9"/>
      <c r="AD10" s="10"/>
      <c r="AE10" s="11"/>
      <c r="AF10" s="12"/>
      <c r="AG10" s="13"/>
      <c r="AI10" s="6"/>
      <c r="AJ10" s="7"/>
      <c r="AK10" s="8"/>
      <c r="AL10" s="9"/>
      <c r="AN10" s="10"/>
      <c r="AO10" s="11"/>
      <c r="AP10" s="12"/>
      <c r="AQ10" s="13"/>
      <c r="AS10" s="6"/>
      <c r="AT10" s="7"/>
      <c r="AU10" s="8"/>
      <c r="AV10" s="9"/>
      <c r="AX10" s="10"/>
      <c r="AY10" s="11"/>
      <c r="AZ10" s="12"/>
      <c r="BA10" s="13"/>
      <c r="BC10" s="6"/>
      <c r="BD10" s="7"/>
      <c r="BE10" s="8"/>
      <c r="BF10" s="9"/>
      <c r="BG10" s="4"/>
      <c r="BH10" s="46">
        <f t="shared" si="0"/>
        <v>0</v>
      </c>
      <c r="BI10" s="47">
        <f t="shared" si="1"/>
        <v>0</v>
      </c>
    </row>
    <row r="11" spans="1:61" x14ac:dyDescent="0.25">
      <c r="A11" s="44" t="s">
        <v>249</v>
      </c>
      <c r="B11" s="45">
        <v>2</v>
      </c>
      <c r="C11" s="44" t="s">
        <v>49</v>
      </c>
      <c r="D11" t="s">
        <v>52</v>
      </c>
      <c r="E11" s="6"/>
      <c r="F11" s="7"/>
      <c r="G11" s="8"/>
      <c r="H11" s="9"/>
      <c r="J11" s="10"/>
      <c r="K11" s="11"/>
      <c r="L11" s="12"/>
      <c r="M11" s="13"/>
      <c r="O11" s="6"/>
      <c r="P11" s="7"/>
      <c r="Q11" s="8"/>
      <c r="R11" s="9"/>
      <c r="T11" s="10"/>
      <c r="U11" s="11"/>
      <c r="V11" s="12"/>
      <c r="W11" s="13"/>
      <c r="Y11" s="6"/>
      <c r="Z11" s="7"/>
      <c r="AA11" s="8"/>
      <c r="AB11" s="9"/>
      <c r="AD11" s="10"/>
      <c r="AE11" s="11"/>
      <c r="AF11" s="12"/>
      <c r="AG11" s="13"/>
      <c r="AI11" s="6"/>
      <c r="AJ11" s="7"/>
      <c r="AK11" s="8"/>
      <c r="AL11" s="9"/>
      <c r="AN11" s="10"/>
      <c r="AO11" s="11"/>
      <c r="AP11" s="12"/>
      <c r="AQ11" s="13"/>
      <c r="AS11" s="6"/>
      <c r="AT11" s="7"/>
      <c r="AU11" s="8"/>
      <c r="AV11" s="9"/>
      <c r="AX11" s="10"/>
      <c r="AY11" s="11"/>
      <c r="AZ11" s="12"/>
      <c r="BA11" s="13"/>
      <c r="BC11" s="6"/>
      <c r="BD11" s="7"/>
      <c r="BE11" s="8"/>
      <c r="BF11" s="9"/>
      <c r="BG11" s="4"/>
      <c r="BH11" s="46">
        <f t="shared" si="0"/>
        <v>0</v>
      </c>
      <c r="BI11" s="47">
        <f t="shared" si="1"/>
        <v>0</v>
      </c>
    </row>
    <row r="12" spans="1:61" x14ac:dyDescent="0.25">
      <c r="A12" s="44" t="s">
        <v>250</v>
      </c>
      <c r="B12" s="45">
        <v>10</v>
      </c>
      <c r="C12" s="44" t="s">
        <v>49</v>
      </c>
      <c r="D12" t="s">
        <v>59</v>
      </c>
      <c r="E12" s="6"/>
      <c r="F12" s="7"/>
      <c r="G12" s="8"/>
      <c r="H12" s="9"/>
      <c r="J12" s="10"/>
      <c r="K12" s="11"/>
      <c r="L12" s="12"/>
      <c r="M12" s="13"/>
      <c r="O12" s="6"/>
      <c r="P12" s="7"/>
      <c r="Q12" s="8"/>
      <c r="R12" s="9"/>
      <c r="T12" s="10"/>
      <c r="U12" s="11"/>
      <c r="V12" s="12"/>
      <c r="W12" s="13"/>
      <c r="Y12" s="6"/>
      <c r="Z12" s="7"/>
      <c r="AA12" s="8"/>
      <c r="AB12" s="9"/>
      <c r="AD12" s="10"/>
      <c r="AE12" s="11"/>
      <c r="AF12" s="12"/>
      <c r="AG12" s="13"/>
      <c r="AI12" s="6"/>
      <c r="AJ12" s="7"/>
      <c r="AK12" s="8"/>
      <c r="AL12" s="9"/>
      <c r="AN12" s="10"/>
      <c r="AO12" s="11"/>
      <c r="AP12" s="12"/>
      <c r="AQ12" s="13"/>
      <c r="AS12" s="6"/>
      <c r="AT12" s="7"/>
      <c r="AU12" s="8"/>
      <c r="AV12" s="9"/>
      <c r="AX12" s="10"/>
      <c r="AY12" s="11"/>
      <c r="AZ12" s="12"/>
      <c r="BA12" s="13"/>
      <c r="BC12" s="6"/>
      <c r="BD12" s="7"/>
      <c r="BE12" s="8"/>
      <c r="BF12" s="9"/>
      <c r="BG12" s="4"/>
      <c r="BH12" s="46">
        <f t="shared" si="0"/>
        <v>0</v>
      </c>
      <c r="BI12" s="47">
        <f t="shared" si="1"/>
        <v>0</v>
      </c>
    </row>
    <row r="13" spans="1:61" x14ac:dyDescent="0.25">
      <c r="A13" s="44" t="s">
        <v>251</v>
      </c>
      <c r="B13" s="45">
        <v>10</v>
      </c>
      <c r="C13" s="44" t="s">
        <v>49</v>
      </c>
      <c r="D13" t="s">
        <v>59</v>
      </c>
      <c r="E13" s="6"/>
      <c r="F13" s="7"/>
      <c r="G13" s="8"/>
      <c r="H13" s="9"/>
      <c r="J13" s="10"/>
      <c r="K13" s="11"/>
      <c r="L13" s="12"/>
      <c r="M13" s="13"/>
      <c r="O13" s="6"/>
      <c r="P13" s="7"/>
      <c r="Q13" s="8"/>
      <c r="R13" s="9"/>
      <c r="T13" s="10"/>
      <c r="U13" s="11"/>
      <c r="V13" s="12"/>
      <c r="W13" s="13"/>
      <c r="Y13" s="6"/>
      <c r="Z13" s="7"/>
      <c r="AA13" s="8"/>
      <c r="AB13" s="9"/>
      <c r="AD13" s="10"/>
      <c r="AE13" s="11"/>
      <c r="AF13" s="12"/>
      <c r="AG13" s="13"/>
      <c r="AI13" s="6"/>
      <c r="AJ13" s="7"/>
      <c r="AK13" s="8"/>
      <c r="AL13" s="9"/>
      <c r="AN13" s="10"/>
      <c r="AO13" s="11"/>
      <c r="AP13" s="12"/>
      <c r="AQ13" s="13"/>
      <c r="AS13" s="6"/>
      <c r="AT13" s="7"/>
      <c r="AU13" s="8"/>
      <c r="AV13" s="9"/>
      <c r="AX13" s="10"/>
      <c r="AY13" s="11"/>
      <c r="AZ13" s="12"/>
      <c r="BA13" s="13"/>
      <c r="BC13" s="6"/>
      <c r="BD13" s="7"/>
      <c r="BE13" s="8"/>
      <c r="BF13" s="9"/>
      <c r="BG13" s="4"/>
      <c r="BH13" s="46">
        <f t="shared" si="0"/>
        <v>0</v>
      </c>
      <c r="BI13" s="47">
        <f t="shared" si="1"/>
        <v>0</v>
      </c>
    </row>
    <row r="14" spans="1:61" x14ac:dyDescent="0.25">
      <c r="A14" s="44" t="s">
        <v>252</v>
      </c>
      <c r="B14" s="45">
        <v>10</v>
      </c>
      <c r="C14" s="44" t="s">
        <v>49</v>
      </c>
      <c r="D14" t="s">
        <v>59</v>
      </c>
      <c r="E14" s="6"/>
      <c r="F14" s="7"/>
      <c r="G14" s="8"/>
      <c r="H14" s="9"/>
      <c r="J14" s="10"/>
      <c r="K14" s="11"/>
      <c r="L14" s="12"/>
      <c r="M14" s="13"/>
      <c r="O14" s="6"/>
      <c r="P14" s="7"/>
      <c r="Q14" s="8"/>
      <c r="R14" s="9"/>
      <c r="T14" s="10"/>
      <c r="U14" s="11"/>
      <c r="V14" s="12"/>
      <c r="W14" s="13"/>
      <c r="Y14" s="6"/>
      <c r="Z14" s="7"/>
      <c r="AA14" s="8"/>
      <c r="AB14" s="9"/>
      <c r="AD14" s="10"/>
      <c r="AE14" s="11"/>
      <c r="AF14" s="12"/>
      <c r="AG14" s="13"/>
      <c r="AI14" s="6"/>
      <c r="AJ14" s="7"/>
      <c r="AK14" s="8"/>
      <c r="AL14" s="9"/>
      <c r="AN14" s="10"/>
      <c r="AO14" s="11"/>
      <c r="AP14" s="12"/>
      <c r="AQ14" s="13"/>
      <c r="AS14" s="6"/>
      <c r="AT14" s="7"/>
      <c r="AU14" s="8"/>
      <c r="AV14" s="9"/>
      <c r="AX14" s="10"/>
      <c r="AY14" s="11"/>
      <c r="AZ14" s="12"/>
      <c r="BA14" s="13"/>
      <c r="BC14" s="6"/>
      <c r="BD14" s="7"/>
      <c r="BE14" s="8"/>
      <c r="BF14" s="9"/>
      <c r="BG14" s="4"/>
      <c r="BH14" s="46">
        <f t="shared" si="0"/>
        <v>0</v>
      </c>
      <c r="BI14" s="47">
        <f t="shared" si="1"/>
        <v>0</v>
      </c>
    </row>
    <row r="15" spans="1:61" x14ac:dyDescent="0.25">
      <c r="A15" s="44" t="s">
        <v>253</v>
      </c>
      <c r="B15" s="45">
        <v>11</v>
      </c>
      <c r="C15" s="44" t="s">
        <v>49</v>
      </c>
      <c r="D15" t="s">
        <v>63</v>
      </c>
      <c r="E15" s="6"/>
      <c r="F15" s="7"/>
      <c r="G15" s="8"/>
      <c r="H15" s="9"/>
      <c r="J15" s="10"/>
      <c r="K15" s="11"/>
      <c r="L15" s="12"/>
      <c r="M15" s="13"/>
      <c r="O15" s="6"/>
      <c r="P15" s="7"/>
      <c r="Q15" s="8"/>
      <c r="R15" s="9"/>
      <c r="T15" s="10"/>
      <c r="U15" s="11"/>
      <c r="V15" s="12"/>
      <c r="W15" s="13"/>
      <c r="Y15" s="6"/>
      <c r="Z15" s="7"/>
      <c r="AA15" s="8"/>
      <c r="AB15" s="9"/>
      <c r="AD15" s="10"/>
      <c r="AE15" s="11"/>
      <c r="AF15" s="12"/>
      <c r="AG15" s="13"/>
      <c r="AI15" s="6"/>
      <c r="AJ15" s="7"/>
      <c r="AK15" s="8"/>
      <c r="AL15" s="9"/>
      <c r="AN15" s="10"/>
      <c r="AO15" s="11"/>
      <c r="AP15" s="12"/>
      <c r="AQ15" s="13"/>
      <c r="AS15" s="6"/>
      <c r="AT15" s="7"/>
      <c r="AU15" s="8"/>
      <c r="AV15" s="9"/>
      <c r="AX15" s="10"/>
      <c r="AY15" s="11"/>
      <c r="AZ15" s="12"/>
      <c r="BA15" s="13"/>
      <c r="BC15" s="6"/>
      <c r="BD15" s="7"/>
      <c r="BE15" s="8"/>
      <c r="BF15" s="9"/>
      <c r="BG15" s="4"/>
      <c r="BH15" s="46">
        <f t="shared" si="0"/>
        <v>0</v>
      </c>
      <c r="BI15" s="47">
        <f t="shared" si="1"/>
        <v>0</v>
      </c>
    </row>
    <row r="16" spans="1:61" x14ac:dyDescent="0.25">
      <c r="A16" s="44" t="s">
        <v>254</v>
      </c>
      <c r="B16" s="45">
        <v>11</v>
      </c>
      <c r="C16" s="44" t="s">
        <v>49</v>
      </c>
      <c r="D16" t="s">
        <v>63</v>
      </c>
      <c r="E16" s="6"/>
      <c r="F16" s="7"/>
      <c r="G16" s="8"/>
      <c r="H16" s="9"/>
      <c r="J16" s="10"/>
      <c r="K16" s="11"/>
      <c r="L16" s="12"/>
      <c r="M16" s="13"/>
      <c r="O16" s="6"/>
      <c r="P16" s="7"/>
      <c r="Q16" s="8"/>
      <c r="R16" s="9"/>
      <c r="T16" s="10"/>
      <c r="U16" s="11"/>
      <c r="V16" s="12"/>
      <c r="W16" s="13"/>
      <c r="Y16" s="6"/>
      <c r="Z16" s="7"/>
      <c r="AA16" s="8"/>
      <c r="AB16" s="9"/>
      <c r="AD16" s="10"/>
      <c r="AE16" s="11"/>
      <c r="AF16" s="12"/>
      <c r="AG16" s="13"/>
      <c r="AI16" s="6"/>
      <c r="AJ16" s="7"/>
      <c r="AK16" s="8"/>
      <c r="AL16" s="9"/>
      <c r="AN16" s="10"/>
      <c r="AO16" s="11"/>
      <c r="AP16" s="12"/>
      <c r="AQ16" s="13"/>
      <c r="AS16" s="6"/>
      <c r="AT16" s="7"/>
      <c r="AU16" s="8"/>
      <c r="AV16" s="9"/>
      <c r="AX16" s="10"/>
      <c r="AY16" s="11"/>
      <c r="AZ16" s="12"/>
      <c r="BA16" s="13"/>
      <c r="BC16" s="6"/>
      <c r="BD16" s="7"/>
      <c r="BE16" s="8"/>
      <c r="BF16" s="9"/>
      <c r="BG16" s="4"/>
      <c r="BH16" s="46">
        <f t="shared" si="0"/>
        <v>0</v>
      </c>
      <c r="BI16" s="47">
        <f t="shared" si="1"/>
        <v>0</v>
      </c>
    </row>
    <row r="17" spans="1:61" x14ac:dyDescent="0.25">
      <c r="A17" s="44" t="s">
        <v>255</v>
      </c>
      <c r="B17" s="45">
        <v>11</v>
      </c>
      <c r="C17" s="44" t="s">
        <v>49</v>
      </c>
      <c r="D17" t="s">
        <v>63</v>
      </c>
      <c r="E17" s="6"/>
      <c r="F17" s="7"/>
      <c r="G17" s="8"/>
      <c r="H17" s="9"/>
      <c r="J17" s="10"/>
      <c r="K17" s="11"/>
      <c r="L17" s="12"/>
      <c r="M17" s="13"/>
      <c r="O17" s="6"/>
      <c r="P17" s="7"/>
      <c r="Q17" s="8"/>
      <c r="R17" s="9"/>
      <c r="T17" s="10"/>
      <c r="U17" s="11"/>
      <c r="V17" s="12"/>
      <c r="W17" s="13"/>
      <c r="Y17" s="6"/>
      <c r="Z17" s="7"/>
      <c r="AA17" s="8"/>
      <c r="AB17" s="9"/>
      <c r="AD17" s="10"/>
      <c r="AE17" s="11"/>
      <c r="AF17" s="12"/>
      <c r="AG17" s="13"/>
      <c r="AI17" s="6"/>
      <c r="AJ17" s="7"/>
      <c r="AK17" s="8"/>
      <c r="AL17" s="9"/>
      <c r="AN17" s="10"/>
      <c r="AO17" s="11"/>
      <c r="AP17" s="12"/>
      <c r="AQ17" s="13"/>
      <c r="AS17" s="6"/>
      <c r="AT17" s="7"/>
      <c r="AU17" s="8"/>
      <c r="AV17" s="9"/>
      <c r="AX17" s="10"/>
      <c r="AY17" s="11"/>
      <c r="AZ17" s="12"/>
      <c r="BA17" s="13"/>
      <c r="BC17" s="6"/>
      <c r="BD17" s="7"/>
      <c r="BE17" s="8"/>
      <c r="BF17" s="9"/>
      <c r="BG17" s="4"/>
      <c r="BH17" s="46">
        <f t="shared" si="0"/>
        <v>0</v>
      </c>
      <c r="BI17" s="47">
        <f t="shared" si="1"/>
        <v>0</v>
      </c>
    </row>
    <row r="18" spans="1:61" x14ac:dyDescent="0.25">
      <c r="A18" s="44" t="s">
        <v>256</v>
      </c>
      <c r="B18" s="45">
        <v>12</v>
      </c>
      <c r="C18" s="44" t="s">
        <v>49</v>
      </c>
      <c r="D18" t="s">
        <v>60</v>
      </c>
      <c r="E18" s="6"/>
      <c r="F18" s="7"/>
      <c r="G18" s="8"/>
      <c r="H18" s="9"/>
      <c r="J18" s="10"/>
      <c r="K18" s="11"/>
      <c r="L18" s="12"/>
      <c r="M18" s="13"/>
      <c r="O18" s="6"/>
      <c r="P18" s="7"/>
      <c r="Q18" s="8"/>
      <c r="R18" s="9"/>
      <c r="T18" s="10"/>
      <c r="U18" s="11"/>
      <c r="V18" s="12"/>
      <c r="W18" s="13"/>
      <c r="Y18" s="6"/>
      <c r="Z18" s="7"/>
      <c r="AA18" s="8"/>
      <c r="AB18" s="9"/>
      <c r="AD18" s="10"/>
      <c r="AE18" s="11"/>
      <c r="AF18" s="12"/>
      <c r="AG18" s="13"/>
      <c r="AI18" s="6"/>
      <c r="AJ18" s="7"/>
      <c r="AK18" s="8"/>
      <c r="AL18" s="9"/>
      <c r="AN18" s="10"/>
      <c r="AO18" s="11"/>
      <c r="AP18" s="12"/>
      <c r="AQ18" s="13"/>
      <c r="AS18" s="6"/>
      <c r="AT18" s="7"/>
      <c r="AU18" s="8"/>
      <c r="AV18" s="9"/>
      <c r="AX18" s="10"/>
      <c r="AY18" s="11"/>
      <c r="AZ18" s="12"/>
      <c r="BA18" s="13"/>
      <c r="BC18" s="6"/>
      <c r="BD18" s="7"/>
      <c r="BE18" s="8"/>
      <c r="BF18" s="9"/>
      <c r="BG18" s="4"/>
      <c r="BH18" s="46">
        <f t="shared" si="0"/>
        <v>0</v>
      </c>
      <c r="BI18" s="47">
        <f t="shared" si="1"/>
        <v>0</v>
      </c>
    </row>
    <row r="19" spans="1:61" x14ac:dyDescent="0.25">
      <c r="A19" s="44" t="s">
        <v>257</v>
      </c>
      <c r="B19" s="45">
        <v>3</v>
      </c>
      <c r="C19" s="44" t="s">
        <v>49</v>
      </c>
      <c r="D19" t="s">
        <v>56</v>
      </c>
      <c r="E19" s="6"/>
      <c r="F19" s="7"/>
      <c r="G19" s="8"/>
      <c r="H19" s="9"/>
      <c r="J19" s="10"/>
      <c r="K19" s="11"/>
      <c r="L19" s="12"/>
      <c r="M19" s="13"/>
      <c r="O19" s="6"/>
      <c r="P19" s="7"/>
      <c r="Q19" s="8"/>
      <c r="R19" s="9"/>
      <c r="T19" s="10"/>
      <c r="U19" s="11"/>
      <c r="V19" s="12"/>
      <c r="W19" s="13"/>
      <c r="Y19" s="6"/>
      <c r="Z19" s="7"/>
      <c r="AA19" s="8"/>
      <c r="AB19" s="9"/>
      <c r="AD19" s="10"/>
      <c r="AE19" s="11"/>
      <c r="AF19" s="12"/>
      <c r="AG19" s="13"/>
      <c r="AI19" s="6"/>
      <c r="AJ19" s="7"/>
      <c r="AK19" s="8"/>
      <c r="AL19" s="9"/>
      <c r="AN19" s="10"/>
      <c r="AO19" s="11"/>
      <c r="AP19" s="12"/>
      <c r="AQ19" s="13"/>
      <c r="AS19" s="6"/>
      <c r="AT19" s="7"/>
      <c r="AU19" s="8"/>
      <c r="AV19" s="9"/>
      <c r="AX19" s="10"/>
      <c r="AY19" s="11"/>
      <c r="AZ19" s="12"/>
      <c r="BA19" s="13"/>
      <c r="BC19" s="6"/>
      <c r="BD19" s="7"/>
      <c r="BE19" s="8"/>
      <c r="BF19" s="9"/>
      <c r="BG19" s="4"/>
      <c r="BH19" s="46">
        <f t="shared" si="0"/>
        <v>0</v>
      </c>
      <c r="BI19" s="47">
        <f t="shared" si="1"/>
        <v>0</v>
      </c>
    </row>
    <row r="20" spans="1:61" x14ac:dyDescent="0.25">
      <c r="A20" s="44" t="s">
        <v>258</v>
      </c>
      <c r="B20" s="45">
        <v>3</v>
      </c>
      <c r="C20" s="44" t="s">
        <v>49</v>
      </c>
      <c r="D20" t="s">
        <v>56</v>
      </c>
      <c r="E20" s="6"/>
      <c r="F20" s="7"/>
      <c r="G20" s="8"/>
      <c r="H20" s="9"/>
      <c r="J20" s="10"/>
      <c r="K20" s="11"/>
      <c r="L20" s="12"/>
      <c r="M20" s="13"/>
      <c r="O20" s="6"/>
      <c r="P20" s="7"/>
      <c r="Q20" s="8"/>
      <c r="R20" s="9"/>
      <c r="T20" s="10"/>
      <c r="U20" s="11"/>
      <c r="V20" s="12"/>
      <c r="W20" s="13"/>
      <c r="Y20" s="6"/>
      <c r="Z20" s="7"/>
      <c r="AA20" s="8"/>
      <c r="AB20" s="9"/>
      <c r="AD20" s="10"/>
      <c r="AE20" s="11"/>
      <c r="AF20" s="12"/>
      <c r="AG20" s="13"/>
      <c r="AI20" s="6"/>
      <c r="AJ20" s="7"/>
      <c r="AK20" s="8"/>
      <c r="AL20" s="9"/>
      <c r="AN20" s="10"/>
      <c r="AO20" s="11"/>
      <c r="AP20" s="12"/>
      <c r="AQ20" s="13"/>
      <c r="AS20" s="6"/>
      <c r="AT20" s="7"/>
      <c r="AU20" s="8"/>
      <c r="AV20" s="9"/>
      <c r="AX20" s="10"/>
      <c r="AY20" s="11"/>
      <c r="AZ20" s="12"/>
      <c r="BA20" s="13"/>
      <c r="BC20" s="6"/>
      <c r="BD20" s="7"/>
      <c r="BE20" s="8"/>
      <c r="BF20" s="9"/>
      <c r="BG20" s="4"/>
      <c r="BH20" s="46">
        <f t="shared" si="0"/>
        <v>0</v>
      </c>
      <c r="BI20" s="47">
        <f t="shared" si="1"/>
        <v>0</v>
      </c>
    </row>
    <row r="21" spans="1:61" x14ac:dyDescent="0.25">
      <c r="A21" s="44" t="s">
        <v>259</v>
      </c>
      <c r="B21" s="45">
        <v>3</v>
      </c>
      <c r="C21" s="44" t="s">
        <v>49</v>
      </c>
      <c r="D21" t="s">
        <v>56</v>
      </c>
      <c r="E21" s="6"/>
      <c r="F21" s="7"/>
      <c r="G21" s="8"/>
      <c r="H21" s="9"/>
      <c r="J21" s="10"/>
      <c r="K21" s="11"/>
      <c r="L21" s="12"/>
      <c r="M21" s="13"/>
      <c r="O21" s="6"/>
      <c r="P21" s="7"/>
      <c r="Q21" s="8"/>
      <c r="R21" s="9"/>
      <c r="T21" s="10"/>
      <c r="U21" s="11"/>
      <c r="V21" s="12"/>
      <c r="W21" s="13"/>
      <c r="Y21" s="6"/>
      <c r="Z21" s="7"/>
      <c r="AA21" s="8"/>
      <c r="AB21" s="9"/>
      <c r="AD21" s="10"/>
      <c r="AE21" s="11"/>
      <c r="AF21" s="12"/>
      <c r="AG21" s="13"/>
      <c r="AI21" s="6"/>
      <c r="AJ21" s="7"/>
      <c r="AK21" s="8"/>
      <c r="AL21" s="9"/>
      <c r="AN21" s="10"/>
      <c r="AO21" s="11"/>
      <c r="AP21" s="12"/>
      <c r="AQ21" s="13"/>
      <c r="AS21" s="6"/>
      <c r="AT21" s="7"/>
      <c r="AU21" s="8"/>
      <c r="AV21" s="9"/>
      <c r="AX21" s="10"/>
      <c r="AY21" s="11"/>
      <c r="AZ21" s="12"/>
      <c r="BA21" s="13"/>
      <c r="BC21" s="6"/>
      <c r="BD21" s="7"/>
      <c r="BE21" s="8"/>
      <c r="BF21" s="9"/>
      <c r="BG21" s="4"/>
      <c r="BH21" s="46">
        <f t="shared" si="0"/>
        <v>0</v>
      </c>
      <c r="BI21" s="47">
        <f t="shared" si="1"/>
        <v>0</v>
      </c>
    </row>
    <row r="22" spans="1:61" x14ac:dyDescent="0.25">
      <c r="A22" s="44" t="s">
        <v>260</v>
      </c>
      <c r="B22" s="45">
        <v>3</v>
      </c>
      <c r="C22" s="44" t="s">
        <v>49</v>
      </c>
      <c r="D22" t="s">
        <v>56</v>
      </c>
      <c r="E22" s="6"/>
      <c r="F22" s="7"/>
      <c r="G22" s="8"/>
      <c r="H22" s="9"/>
      <c r="J22" s="10"/>
      <c r="K22" s="11"/>
      <c r="L22" s="12"/>
      <c r="M22" s="13"/>
      <c r="O22" s="6"/>
      <c r="P22" s="7"/>
      <c r="Q22" s="8"/>
      <c r="R22" s="9"/>
      <c r="T22" s="10"/>
      <c r="U22" s="11"/>
      <c r="V22" s="12"/>
      <c r="W22" s="13"/>
      <c r="Y22" s="6"/>
      <c r="Z22" s="7"/>
      <c r="AA22" s="8"/>
      <c r="AB22" s="9"/>
      <c r="AD22" s="10"/>
      <c r="AE22" s="11"/>
      <c r="AF22" s="12"/>
      <c r="AG22" s="13"/>
      <c r="AI22" s="6"/>
      <c r="AJ22" s="7"/>
      <c r="AK22" s="8"/>
      <c r="AL22" s="9"/>
      <c r="AN22" s="10"/>
      <c r="AO22" s="11"/>
      <c r="AP22" s="12"/>
      <c r="AQ22" s="13"/>
      <c r="AS22" s="6"/>
      <c r="AT22" s="7"/>
      <c r="AU22" s="8"/>
      <c r="AV22" s="9"/>
      <c r="AX22" s="10"/>
      <c r="AY22" s="11"/>
      <c r="AZ22" s="12"/>
      <c r="BA22" s="13"/>
      <c r="BC22" s="6"/>
      <c r="BD22" s="7"/>
      <c r="BE22" s="8"/>
      <c r="BF22" s="9"/>
      <c r="BG22" s="4"/>
      <c r="BH22" s="46">
        <f t="shared" si="0"/>
        <v>0</v>
      </c>
      <c r="BI22" s="47">
        <f t="shared" si="1"/>
        <v>0</v>
      </c>
    </row>
    <row r="23" spans="1:61" x14ac:dyDescent="0.25">
      <c r="A23" s="44" t="s">
        <v>261</v>
      </c>
      <c r="B23" s="45">
        <v>3</v>
      </c>
      <c r="C23" s="44" t="s">
        <v>49</v>
      </c>
      <c r="D23" t="s">
        <v>56</v>
      </c>
      <c r="E23" s="6"/>
      <c r="F23" s="7"/>
      <c r="G23" s="8"/>
      <c r="H23" s="9"/>
      <c r="J23" s="10"/>
      <c r="K23" s="11"/>
      <c r="L23" s="12"/>
      <c r="M23" s="13"/>
      <c r="O23" s="6"/>
      <c r="P23" s="7"/>
      <c r="Q23" s="8"/>
      <c r="R23" s="9"/>
      <c r="T23" s="10"/>
      <c r="U23" s="11"/>
      <c r="V23" s="12"/>
      <c r="W23" s="13"/>
      <c r="Y23" s="6"/>
      <c r="Z23" s="7"/>
      <c r="AA23" s="8"/>
      <c r="AB23" s="9"/>
      <c r="AD23" s="10"/>
      <c r="AE23" s="11"/>
      <c r="AF23" s="12"/>
      <c r="AG23" s="13"/>
      <c r="AI23" s="6"/>
      <c r="AJ23" s="7"/>
      <c r="AK23" s="8"/>
      <c r="AL23" s="9"/>
      <c r="AN23" s="10"/>
      <c r="AO23" s="11"/>
      <c r="AP23" s="12"/>
      <c r="AQ23" s="13"/>
      <c r="AS23" s="6"/>
      <c r="AT23" s="7"/>
      <c r="AU23" s="8"/>
      <c r="AV23" s="9"/>
      <c r="AX23" s="10"/>
      <c r="AY23" s="11"/>
      <c r="AZ23" s="12"/>
      <c r="BA23" s="13"/>
      <c r="BC23" s="6"/>
      <c r="BD23" s="7"/>
      <c r="BE23" s="8"/>
      <c r="BF23" s="9"/>
      <c r="BG23" s="4"/>
      <c r="BH23" s="46">
        <f t="shared" si="0"/>
        <v>0</v>
      </c>
      <c r="BI23" s="47">
        <f t="shared" si="1"/>
        <v>0</v>
      </c>
    </row>
    <row r="24" spans="1:61" x14ac:dyDescent="0.25">
      <c r="A24" s="44" t="s">
        <v>262</v>
      </c>
      <c r="B24" s="45">
        <v>5</v>
      </c>
      <c r="C24" s="44" t="s">
        <v>49</v>
      </c>
      <c r="D24" t="s">
        <v>58</v>
      </c>
      <c r="E24" s="6"/>
      <c r="F24" s="7"/>
      <c r="G24" s="8"/>
      <c r="H24" s="9"/>
      <c r="J24" s="10"/>
      <c r="K24" s="11"/>
      <c r="L24" s="12"/>
      <c r="M24" s="13"/>
      <c r="O24" s="6"/>
      <c r="P24" s="7"/>
      <c r="Q24" s="8"/>
      <c r="R24" s="9"/>
      <c r="T24" s="10"/>
      <c r="U24" s="11"/>
      <c r="V24" s="12"/>
      <c r="W24" s="13"/>
      <c r="Y24" s="6"/>
      <c r="Z24" s="7"/>
      <c r="AA24" s="8"/>
      <c r="AB24" s="9"/>
      <c r="AD24" s="10"/>
      <c r="AE24" s="11"/>
      <c r="AF24" s="12"/>
      <c r="AG24" s="13"/>
      <c r="AI24" s="6"/>
      <c r="AJ24" s="7"/>
      <c r="AK24" s="8"/>
      <c r="AL24" s="9"/>
      <c r="AN24" s="10"/>
      <c r="AO24" s="11"/>
      <c r="AP24" s="12"/>
      <c r="AQ24" s="13"/>
      <c r="AS24" s="6"/>
      <c r="AT24" s="7"/>
      <c r="AU24" s="8"/>
      <c r="AV24" s="9"/>
      <c r="AX24" s="10"/>
      <c r="AY24" s="11"/>
      <c r="AZ24" s="12"/>
      <c r="BA24" s="13"/>
      <c r="BC24" s="6"/>
      <c r="BD24" s="7"/>
      <c r="BE24" s="8"/>
      <c r="BF24" s="9"/>
      <c r="BG24" s="4"/>
      <c r="BH24" s="46">
        <f t="shared" si="0"/>
        <v>0</v>
      </c>
      <c r="BI24" s="47">
        <f t="shared" si="1"/>
        <v>0</v>
      </c>
    </row>
    <row r="25" spans="1:61" x14ac:dyDescent="0.25">
      <c r="A25" s="44" t="s">
        <v>263</v>
      </c>
      <c r="B25" s="45">
        <v>5</v>
      </c>
      <c r="C25" s="44" t="s">
        <v>49</v>
      </c>
      <c r="D25" t="s">
        <v>58</v>
      </c>
      <c r="E25" s="6"/>
      <c r="F25" s="7"/>
      <c r="G25" s="8"/>
      <c r="H25" s="9"/>
      <c r="J25" s="10"/>
      <c r="K25" s="11"/>
      <c r="L25" s="12"/>
      <c r="M25" s="13"/>
      <c r="O25" s="6"/>
      <c r="P25" s="7"/>
      <c r="Q25" s="8"/>
      <c r="R25" s="9"/>
      <c r="T25" s="10"/>
      <c r="U25" s="11"/>
      <c r="V25" s="12"/>
      <c r="W25" s="13"/>
      <c r="Y25" s="6"/>
      <c r="Z25" s="7"/>
      <c r="AA25" s="8"/>
      <c r="AB25" s="9"/>
      <c r="AD25" s="10"/>
      <c r="AE25" s="11"/>
      <c r="AF25" s="12"/>
      <c r="AG25" s="13"/>
      <c r="AI25" s="6"/>
      <c r="AJ25" s="7"/>
      <c r="AK25" s="8"/>
      <c r="AL25" s="9"/>
      <c r="AN25" s="10"/>
      <c r="AO25" s="11"/>
      <c r="AP25" s="12"/>
      <c r="AQ25" s="13"/>
      <c r="AS25" s="6"/>
      <c r="AT25" s="7"/>
      <c r="AU25" s="8"/>
      <c r="AV25" s="9"/>
      <c r="AX25" s="10"/>
      <c r="AY25" s="11"/>
      <c r="AZ25" s="12"/>
      <c r="BA25" s="13"/>
      <c r="BC25" s="6"/>
      <c r="BD25" s="7"/>
      <c r="BE25" s="8"/>
      <c r="BF25" s="9"/>
      <c r="BG25" s="4"/>
      <c r="BH25" s="46">
        <f t="shared" si="0"/>
        <v>0</v>
      </c>
      <c r="BI25" s="47">
        <f t="shared" si="1"/>
        <v>0</v>
      </c>
    </row>
    <row r="26" spans="1:61" x14ac:dyDescent="0.25">
      <c r="A26" s="44" t="s">
        <v>264</v>
      </c>
      <c r="B26" s="45">
        <v>5</v>
      </c>
      <c r="C26" s="44" t="s">
        <v>49</v>
      </c>
      <c r="D26" t="s">
        <v>58</v>
      </c>
      <c r="E26" s="6"/>
      <c r="F26" s="7"/>
      <c r="G26" s="8"/>
      <c r="H26" s="9"/>
      <c r="J26" s="10"/>
      <c r="K26" s="11"/>
      <c r="L26" s="12"/>
      <c r="M26" s="13"/>
      <c r="O26" s="6"/>
      <c r="P26" s="7"/>
      <c r="Q26" s="8"/>
      <c r="R26" s="9"/>
      <c r="T26" s="10"/>
      <c r="U26" s="11"/>
      <c r="V26" s="12"/>
      <c r="W26" s="13"/>
      <c r="Y26" s="6"/>
      <c r="Z26" s="7"/>
      <c r="AA26" s="8"/>
      <c r="AB26" s="9"/>
      <c r="AD26" s="10"/>
      <c r="AE26" s="11"/>
      <c r="AF26" s="12"/>
      <c r="AG26" s="13"/>
      <c r="AI26" s="6"/>
      <c r="AJ26" s="7"/>
      <c r="AK26" s="8"/>
      <c r="AL26" s="9"/>
      <c r="AN26" s="10"/>
      <c r="AO26" s="11"/>
      <c r="AP26" s="12"/>
      <c r="AQ26" s="13"/>
      <c r="AS26" s="6"/>
      <c r="AT26" s="7"/>
      <c r="AU26" s="8"/>
      <c r="AV26" s="9"/>
      <c r="AX26" s="10"/>
      <c r="AY26" s="11"/>
      <c r="AZ26" s="12"/>
      <c r="BA26" s="13"/>
      <c r="BC26" s="6"/>
      <c r="BD26" s="7"/>
      <c r="BE26" s="8"/>
      <c r="BF26" s="9"/>
      <c r="BG26" s="4"/>
      <c r="BH26" s="46">
        <f t="shared" si="0"/>
        <v>0</v>
      </c>
      <c r="BI26" s="47">
        <f t="shared" si="1"/>
        <v>0</v>
      </c>
    </row>
    <row r="27" spans="1:61" x14ac:dyDescent="0.25">
      <c r="A27" s="44" t="s">
        <v>265</v>
      </c>
      <c r="B27" s="45">
        <v>5</v>
      </c>
      <c r="C27" s="44" t="s">
        <v>49</v>
      </c>
      <c r="D27" t="s">
        <v>58</v>
      </c>
      <c r="E27" s="6"/>
      <c r="F27" s="7"/>
      <c r="G27" s="8"/>
      <c r="H27" s="9"/>
      <c r="J27" s="10"/>
      <c r="K27" s="11"/>
      <c r="L27" s="12"/>
      <c r="M27" s="13"/>
      <c r="O27" s="6"/>
      <c r="P27" s="7"/>
      <c r="Q27" s="8"/>
      <c r="R27" s="9"/>
      <c r="T27" s="10"/>
      <c r="U27" s="11"/>
      <c r="V27" s="12"/>
      <c r="W27" s="13"/>
      <c r="Y27" s="6"/>
      <c r="Z27" s="7"/>
      <c r="AA27" s="8"/>
      <c r="AB27" s="9"/>
      <c r="AD27" s="10"/>
      <c r="AE27" s="11"/>
      <c r="AF27" s="12"/>
      <c r="AG27" s="13"/>
      <c r="AI27" s="6"/>
      <c r="AJ27" s="7"/>
      <c r="AK27" s="8"/>
      <c r="AL27" s="9"/>
      <c r="AN27" s="10"/>
      <c r="AO27" s="11"/>
      <c r="AP27" s="12"/>
      <c r="AQ27" s="13"/>
      <c r="AS27" s="6"/>
      <c r="AT27" s="7"/>
      <c r="AU27" s="8"/>
      <c r="AV27" s="9"/>
      <c r="AX27" s="10"/>
      <c r="AY27" s="11"/>
      <c r="AZ27" s="12"/>
      <c r="BA27" s="13"/>
      <c r="BC27" s="6"/>
      <c r="BD27" s="7"/>
      <c r="BE27" s="8"/>
      <c r="BF27" s="9"/>
      <c r="BG27" s="4"/>
      <c r="BH27" s="46">
        <f t="shared" si="0"/>
        <v>0</v>
      </c>
      <c r="BI27" s="47">
        <f t="shared" si="1"/>
        <v>0</v>
      </c>
    </row>
    <row r="28" spans="1:61" x14ac:dyDescent="0.25">
      <c r="A28" s="44" t="s">
        <v>266</v>
      </c>
      <c r="B28" s="45">
        <v>5</v>
      </c>
      <c r="C28" s="44" t="s">
        <v>49</v>
      </c>
      <c r="D28" t="s">
        <v>58</v>
      </c>
      <c r="E28" s="6"/>
      <c r="F28" s="7"/>
      <c r="G28" s="8"/>
      <c r="H28" s="9"/>
      <c r="J28" s="10"/>
      <c r="K28" s="11"/>
      <c r="L28" s="12"/>
      <c r="M28" s="13"/>
      <c r="O28" s="6"/>
      <c r="P28" s="7"/>
      <c r="Q28" s="8"/>
      <c r="R28" s="9"/>
      <c r="T28" s="10"/>
      <c r="U28" s="11"/>
      <c r="V28" s="12"/>
      <c r="W28" s="13"/>
      <c r="Y28" s="6"/>
      <c r="Z28" s="7"/>
      <c r="AA28" s="8"/>
      <c r="AB28" s="9"/>
      <c r="AD28" s="10"/>
      <c r="AE28" s="11"/>
      <c r="AF28" s="12"/>
      <c r="AG28" s="13"/>
      <c r="AI28" s="6"/>
      <c r="AJ28" s="7"/>
      <c r="AK28" s="8"/>
      <c r="AL28" s="9"/>
      <c r="AN28" s="10"/>
      <c r="AO28" s="11"/>
      <c r="AP28" s="12"/>
      <c r="AQ28" s="13"/>
      <c r="AS28" s="6"/>
      <c r="AT28" s="7"/>
      <c r="AU28" s="8"/>
      <c r="AV28" s="9"/>
      <c r="AX28" s="10"/>
      <c r="AY28" s="11"/>
      <c r="AZ28" s="12"/>
      <c r="BA28" s="13"/>
      <c r="BC28" s="6"/>
      <c r="BD28" s="7"/>
      <c r="BE28" s="8"/>
      <c r="BF28" s="9"/>
      <c r="BG28" s="4"/>
      <c r="BH28" s="46">
        <f t="shared" si="0"/>
        <v>0</v>
      </c>
      <c r="BI28" s="47">
        <f t="shared" si="1"/>
        <v>0</v>
      </c>
    </row>
    <row r="29" spans="1:61" x14ac:dyDescent="0.25">
      <c r="A29" s="44" t="s">
        <v>267</v>
      </c>
      <c r="B29" s="45">
        <v>4</v>
      </c>
      <c r="C29" s="44" t="s">
        <v>49</v>
      </c>
      <c r="D29" t="s">
        <v>55</v>
      </c>
      <c r="E29" s="6"/>
      <c r="F29" s="7"/>
      <c r="G29" s="8"/>
      <c r="H29" s="9"/>
      <c r="J29" s="10"/>
      <c r="K29" s="11"/>
      <c r="L29" s="12"/>
      <c r="M29" s="13"/>
      <c r="O29" s="6"/>
      <c r="P29" s="7"/>
      <c r="Q29" s="8"/>
      <c r="R29" s="9"/>
      <c r="T29" s="10"/>
      <c r="U29" s="11"/>
      <c r="V29" s="12"/>
      <c r="W29" s="13"/>
      <c r="Y29" s="6"/>
      <c r="Z29" s="7"/>
      <c r="AA29" s="8"/>
      <c r="AB29" s="9"/>
      <c r="AD29" s="10"/>
      <c r="AE29" s="11"/>
      <c r="AF29" s="12"/>
      <c r="AG29" s="13"/>
      <c r="AI29" s="6"/>
      <c r="AJ29" s="7"/>
      <c r="AK29" s="8"/>
      <c r="AL29" s="9"/>
      <c r="AN29" s="10"/>
      <c r="AO29" s="11"/>
      <c r="AP29" s="12"/>
      <c r="AQ29" s="13"/>
      <c r="AS29" s="6"/>
      <c r="AT29" s="7"/>
      <c r="AU29" s="8"/>
      <c r="AV29" s="9"/>
      <c r="AX29" s="10"/>
      <c r="AY29" s="11"/>
      <c r="AZ29" s="12"/>
      <c r="BA29" s="13"/>
      <c r="BC29" s="6"/>
      <c r="BD29" s="7"/>
      <c r="BE29" s="8"/>
      <c r="BF29" s="9"/>
      <c r="BG29" s="4"/>
      <c r="BH29" s="46">
        <f t="shared" si="0"/>
        <v>0</v>
      </c>
      <c r="BI29" s="47">
        <f t="shared" si="1"/>
        <v>0</v>
      </c>
    </row>
    <row r="30" spans="1:61" x14ac:dyDescent="0.25">
      <c r="A30" s="44" t="s">
        <v>268</v>
      </c>
      <c r="B30" s="45">
        <v>4</v>
      </c>
      <c r="C30" s="44" t="s">
        <v>49</v>
      </c>
      <c r="D30" t="s">
        <v>55</v>
      </c>
      <c r="E30" s="6"/>
      <c r="F30" s="7"/>
      <c r="G30" s="8"/>
      <c r="H30" s="9"/>
      <c r="J30" s="10"/>
      <c r="K30" s="11"/>
      <c r="L30" s="12"/>
      <c r="M30" s="13"/>
      <c r="O30" s="6"/>
      <c r="P30" s="7"/>
      <c r="Q30" s="8"/>
      <c r="R30" s="9"/>
      <c r="T30" s="10"/>
      <c r="U30" s="11"/>
      <c r="V30" s="12"/>
      <c r="W30" s="13"/>
      <c r="Y30" s="6"/>
      <c r="Z30" s="7"/>
      <c r="AA30" s="8"/>
      <c r="AB30" s="9"/>
      <c r="AD30" s="10"/>
      <c r="AE30" s="11"/>
      <c r="AF30" s="12"/>
      <c r="AG30" s="13"/>
      <c r="AI30" s="6"/>
      <c r="AJ30" s="7"/>
      <c r="AK30" s="8"/>
      <c r="AL30" s="9"/>
      <c r="AN30" s="10"/>
      <c r="AO30" s="11"/>
      <c r="AP30" s="12"/>
      <c r="AQ30" s="13"/>
      <c r="AS30" s="6"/>
      <c r="AT30" s="7"/>
      <c r="AU30" s="8"/>
      <c r="AV30" s="9"/>
      <c r="AX30" s="10"/>
      <c r="AY30" s="11"/>
      <c r="AZ30" s="12"/>
      <c r="BA30" s="13"/>
      <c r="BC30" s="6"/>
      <c r="BD30" s="7"/>
      <c r="BE30" s="8"/>
      <c r="BF30" s="9"/>
      <c r="BG30" s="4"/>
      <c r="BH30" s="46">
        <f t="shared" si="0"/>
        <v>0</v>
      </c>
      <c r="BI30" s="47">
        <f t="shared" si="1"/>
        <v>0</v>
      </c>
    </row>
    <row r="31" spans="1:61" x14ac:dyDescent="0.25">
      <c r="A31" s="44" t="s">
        <v>269</v>
      </c>
      <c r="B31" s="45">
        <v>4</v>
      </c>
      <c r="C31" s="44" t="s">
        <v>49</v>
      </c>
      <c r="D31" t="s">
        <v>55</v>
      </c>
      <c r="E31" s="6"/>
      <c r="F31" s="7"/>
      <c r="G31" s="8"/>
      <c r="H31" s="9"/>
      <c r="J31" s="10"/>
      <c r="K31" s="11"/>
      <c r="L31" s="12"/>
      <c r="M31" s="13"/>
      <c r="O31" s="6"/>
      <c r="P31" s="7"/>
      <c r="Q31" s="8"/>
      <c r="R31" s="9"/>
      <c r="T31" s="10"/>
      <c r="U31" s="11"/>
      <c r="V31" s="12"/>
      <c r="W31" s="13"/>
      <c r="Y31" s="6"/>
      <c r="Z31" s="7"/>
      <c r="AA31" s="8"/>
      <c r="AB31" s="9"/>
      <c r="AD31" s="10"/>
      <c r="AE31" s="11"/>
      <c r="AF31" s="12"/>
      <c r="AG31" s="13"/>
      <c r="AI31" s="6"/>
      <c r="AJ31" s="7"/>
      <c r="AK31" s="8"/>
      <c r="AL31" s="9"/>
      <c r="AN31" s="10"/>
      <c r="AO31" s="11"/>
      <c r="AP31" s="12"/>
      <c r="AQ31" s="13"/>
      <c r="AS31" s="6"/>
      <c r="AT31" s="7"/>
      <c r="AU31" s="8"/>
      <c r="AV31" s="9"/>
      <c r="AX31" s="10"/>
      <c r="AY31" s="11"/>
      <c r="AZ31" s="12"/>
      <c r="BA31" s="13"/>
      <c r="BC31" s="6"/>
      <c r="BD31" s="7"/>
      <c r="BE31" s="8"/>
      <c r="BF31" s="9"/>
      <c r="BG31" s="4"/>
      <c r="BH31" s="46">
        <f t="shared" si="0"/>
        <v>0</v>
      </c>
      <c r="BI31" s="47">
        <f t="shared" si="1"/>
        <v>0</v>
      </c>
    </row>
    <row r="32" spans="1:61" x14ac:dyDescent="0.25">
      <c r="A32" s="44" t="s">
        <v>270</v>
      </c>
      <c r="B32" s="45">
        <v>4</v>
      </c>
      <c r="C32" s="44" t="s">
        <v>49</v>
      </c>
      <c r="D32" t="s">
        <v>55</v>
      </c>
      <c r="E32" s="6"/>
      <c r="F32" s="7"/>
      <c r="G32" s="8"/>
      <c r="H32" s="9"/>
      <c r="J32" s="10"/>
      <c r="K32" s="11"/>
      <c r="L32" s="12"/>
      <c r="M32" s="13"/>
      <c r="O32" s="6"/>
      <c r="P32" s="7"/>
      <c r="Q32" s="8"/>
      <c r="R32" s="9"/>
      <c r="T32" s="10"/>
      <c r="U32" s="11"/>
      <c r="V32" s="12"/>
      <c r="W32" s="13"/>
      <c r="Y32" s="6"/>
      <c r="Z32" s="7"/>
      <c r="AA32" s="8"/>
      <c r="AB32" s="9"/>
      <c r="AD32" s="10"/>
      <c r="AE32" s="11"/>
      <c r="AF32" s="12"/>
      <c r="AG32" s="13"/>
      <c r="AI32" s="6"/>
      <c r="AJ32" s="7"/>
      <c r="AK32" s="8"/>
      <c r="AL32" s="9"/>
      <c r="AN32" s="10"/>
      <c r="AO32" s="11"/>
      <c r="AP32" s="12"/>
      <c r="AQ32" s="13"/>
      <c r="AS32" s="6"/>
      <c r="AT32" s="7"/>
      <c r="AU32" s="8"/>
      <c r="AV32" s="9"/>
      <c r="AX32" s="10"/>
      <c r="AY32" s="11"/>
      <c r="AZ32" s="12"/>
      <c r="BA32" s="13"/>
      <c r="BC32" s="6"/>
      <c r="BD32" s="7"/>
      <c r="BE32" s="8"/>
      <c r="BF32" s="9"/>
      <c r="BG32" s="4"/>
      <c r="BH32" s="46">
        <f t="shared" si="0"/>
        <v>0</v>
      </c>
      <c r="BI32" s="47">
        <f t="shared" si="1"/>
        <v>0</v>
      </c>
    </row>
    <row r="33" spans="1:61" x14ac:dyDescent="0.25">
      <c r="A33" s="44" t="s">
        <v>271</v>
      </c>
      <c r="B33" s="45">
        <v>4</v>
      </c>
      <c r="C33" s="44" t="s">
        <v>49</v>
      </c>
      <c r="D33" t="s">
        <v>55</v>
      </c>
      <c r="E33" s="6"/>
      <c r="F33" s="7"/>
      <c r="G33" s="8"/>
      <c r="H33" s="9"/>
      <c r="J33" s="10"/>
      <c r="K33" s="11"/>
      <c r="L33" s="12"/>
      <c r="M33" s="13"/>
      <c r="O33" s="6"/>
      <c r="P33" s="7"/>
      <c r="Q33" s="8"/>
      <c r="R33" s="9"/>
      <c r="T33" s="10"/>
      <c r="U33" s="11"/>
      <c r="V33" s="12"/>
      <c r="W33" s="13"/>
      <c r="Y33" s="6"/>
      <c r="Z33" s="7"/>
      <c r="AA33" s="8"/>
      <c r="AB33" s="9"/>
      <c r="AD33" s="10"/>
      <c r="AE33" s="11"/>
      <c r="AF33" s="12"/>
      <c r="AG33" s="13"/>
      <c r="AI33" s="6"/>
      <c r="AJ33" s="7"/>
      <c r="AK33" s="8"/>
      <c r="AL33" s="9"/>
      <c r="AN33" s="10"/>
      <c r="AO33" s="11"/>
      <c r="AP33" s="12"/>
      <c r="AQ33" s="13"/>
      <c r="AS33" s="6"/>
      <c r="AT33" s="7"/>
      <c r="AU33" s="8"/>
      <c r="AV33" s="9"/>
      <c r="AX33" s="10"/>
      <c r="AY33" s="11"/>
      <c r="AZ33" s="12"/>
      <c r="BA33" s="13"/>
      <c r="BC33" s="6"/>
      <c r="BD33" s="7"/>
      <c r="BE33" s="8"/>
      <c r="BF33" s="9"/>
      <c r="BG33" s="4"/>
      <c r="BH33" s="46">
        <f t="shared" si="0"/>
        <v>0</v>
      </c>
      <c r="BI33" s="47">
        <f t="shared" si="1"/>
        <v>0</v>
      </c>
    </row>
    <row r="34" spans="1:61" x14ac:dyDescent="0.25">
      <c r="A34" s="44" t="s">
        <v>272</v>
      </c>
      <c r="B34" s="45">
        <v>4</v>
      </c>
      <c r="C34" s="44" t="s">
        <v>49</v>
      </c>
      <c r="D34" t="s">
        <v>55</v>
      </c>
      <c r="E34" s="6"/>
      <c r="F34" s="7"/>
      <c r="G34" s="8"/>
      <c r="H34" s="9"/>
      <c r="J34" s="10"/>
      <c r="K34" s="11"/>
      <c r="L34" s="12"/>
      <c r="M34" s="13"/>
      <c r="O34" s="6"/>
      <c r="P34" s="7"/>
      <c r="Q34" s="8"/>
      <c r="R34" s="9"/>
      <c r="T34" s="10"/>
      <c r="U34" s="11"/>
      <c r="V34" s="12"/>
      <c r="W34" s="13"/>
      <c r="Y34" s="6"/>
      <c r="Z34" s="7"/>
      <c r="AA34" s="8"/>
      <c r="AB34" s="9"/>
      <c r="AD34" s="10"/>
      <c r="AE34" s="11"/>
      <c r="AF34" s="12"/>
      <c r="AG34" s="13"/>
      <c r="AI34" s="6"/>
      <c r="AJ34" s="7"/>
      <c r="AK34" s="8"/>
      <c r="AL34" s="9"/>
      <c r="AN34" s="10"/>
      <c r="AO34" s="11"/>
      <c r="AP34" s="12"/>
      <c r="AQ34" s="13"/>
      <c r="AS34" s="6"/>
      <c r="AT34" s="7"/>
      <c r="AU34" s="8"/>
      <c r="AV34" s="9"/>
      <c r="AX34" s="10"/>
      <c r="AY34" s="11"/>
      <c r="AZ34" s="12"/>
      <c r="BA34" s="13"/>
      <c r="BC34" s="6"/>
      <c r="BD34" s="7"/>
      <c r="BE34" s="8"/>
      <c r="BF34" s="9"/>
      <c r="BG34" s="4"/>
      <c r="BH34" s="46">
        <f t="shared" si="0"/>
        <v>0</v>
      </c>
      <c r="BI34" s="47">
        <f t="shared" si="1"/>
        <v>0</v>
      </c>
    </row>
    <row r="35" spans="1:61" x14ac:dyDescent="0.25">
      <c r="A35" s="44" t="s">
        <v>273</v>
      </c>
      <c r="B35" s="45">
        <v>6</v>
      </c>
      <c r="C35" s="44" t="s">
        <v>49</v>
      </c>
      <c r="D35" t="s">
        <v>50</v>
      </c>
      <c r="E35" s="6"/>
      <c r="F35" s="7"/>
      <c r="G35" s="8"/>
      <c r="H35" s="9"/>
      <c r="J35" s="10"/>
      <c r="K35" s="11"/>
      <c r="L35" s="12"/>
      <c r="M35" s="13"/>
      <c r="O35" s="6"/>
      <c r="P35" s="7"/>
      <c r="Q35" s="8"/>
      <c r="R35" s="9"/>
      <c r="T35" s="10"/>
      <c r="U35" s="11"/>
      <c r="V35" s="12"/>
      <c r="W35" s="13"/>
      <c r="Y35" s="6"/>
      <c r="Z35" s="7"/>
      <c r="AA35" s="8"/>
      <c r="AB35" s="9"/>
      <c r="AD35" s="10"/>
      <c r="AE35" s="11"/>
      <c r="AF35" s="12"/>
      <c r="AG35" s="13"/>
      <c r="AI35" s="6"/>
      <c r="AJ35" s="7"/>
      <c r="AK35" s="8"/>
      <c r="AL35" s="9"/>
      <c r="AN35" s="10"/>
      <c r="AO35" s="11"/>
      <c r="AP35" s="12"/>
      <c r="AQ35" s="13"/>
      <c r="AS35" s="6"/>
      <c r="AT35" s="7"/>
      <c r="AU35" s="8"/>
      <c r="AV35" s="9"/>
      <c r="AX35" s="10"/>
      <c r="AY35" s="11"/>
      <c r="AZ35" s="12"/>
      <c r="BA35" s="13"/>
      <c r="BC35" s="6"/>
      <c r="BD35" s="7"/>
      <c r="BE35" s="8"/>
      <c r="BF35" s="9"/>
      <c r="BG35" s="4"/>
      <c r="BH35" s="46">
        <f t="shared" si="0"/>
        <v>0</v>
      </c>
      <c r="BI35" s="47">
        <f t="shared" si="1"/>
        <v>0</v>
      </c>
    </row>
    <row r="36" spans="1:61" x14ac:dyDescent="0.25">
      <c r="A36" s="44" t="s">
        <v>274</v>
      </c>
      <c r="B36" s="45">
        <v>6</v>
      </c>
      <c r="C36" s="44" t="s">
        <v>49</v>
      </c>
      <c r="D36" t="s">
        <v>50</v>
      </c>
      <c r="E36" s="6"/>
      <c r="F36" s="7"/>
      <c r="G36" s="8"/>
      <c r="H36" s="9"/>
      <c r="J36" s="10"/>
      <c r="K36" s="11"/>
      <c r="L36" s="12"/>
      <c r="M36" s="13"/>
      <c r="O36" s="6"/>
      <c r="P36" s="7"/>
      <c r="Q36" s="8"/>
      <c r="R36" s="9"/>
      <c r="T36" s="10"/>
      <c r="U36" s="11"/>
      <c r="V36" s="12"/>
      <c r="W36" s="13"/>
      <c r="Y36" s="6"/>
      <c r="Z36" s="7"/>
      <c r="AA36" s="8"/>
      <c r="AB36" s="9"/>
      <c r="AD36" s="10"/>
      <c r="AE36" s="11"/>
      <c r="AF36" s="12"/>
      <c r="AG36" s="13"/>
      <c r="AI36" s="6"/>
      <c r="AJ36" s="7"/>
      <c r="AK36" s="8"/>
      <c r="AL36" s="9"/>
      <c r="AN36" s="10"/>
      <c r="AO36" s="11"/>
      <c r="AP36" s="12"/>
      <c r="AQ36" s="13"/>
      <c r="AS36" s="6"/>
      <c r="AT36" s="7"/>
      <c r="AU36" s="8"/>
      <c r="AV36" s="9"/>
      <c r="AX36" s="10"/>
      <c r="AY36" s="11"/>
      <c r="AZ36" s="12"/>
      <c r="BA36" s="13"/>
      <c r="BC36" s="6"/>
      <c r="BD36" s="7"/>
      <c r="BE36" s="8"/>
      <c r="BF36" s="9"/>
      <c r="BG36" s="4"/>
      <c r="BH36" s="46">
        <f t="shared" si="0"/>
        <v>0</v>
      </c>
      <c r="BI36" s="47">
        <f t="shared" si="1"/>
        <v>0</v>
      </c>
    </row>
    <row r="37" spans="1:61" x14ac:dyDescent="0.25">
      <c r="A37" s="44" t="s">
        <v>275</v>
      </c>
      <c r="B37" s="45">
        <v>6</v>
      </c>
      <c r="C37" s="44" t="s">
        <v>49</v>
      </c>
      <c r="D37" t="s">
        <v>50</v>
      </c>
      <c r="E37" s="6"/>
      <c r="F37" s="7"/>
      <c r="G37" s="8"/>
      <c r="H37" s="9"/>
      <c r="J37" s="10"/>
      <c r="K37" s="11"/>
      <c r="L37" s="12"/>
      <c r="M37" s="13"/>
      <c r="O37" s="6"/>
      <c r="P37" s="7"/>
      <c r="Q37" s="8"/>
      <c r="R37" s="9"/>
      <c r="T37" s="10"/>
      <c r="U37" s="11"/>
      <c r="V37" s="12"/>
      <c r="W37" s="13"/>
      <c r="Y37" s="6"/>
      <c r="Z37" s="7"/>
      <c r="AA37" s="8"/>
      <c r="AB37" s="9"/>
      <c r="AD37" s="10"/>
      <c r="AE37" s="11"/>
      <c r="AF37" s="12"/>
      <c r="AG37" s="13"/>
      <c r="AI37" s="6"/>
      <c r="AJ37" s="7"/>
      <c r="AK37" s="8"/>
      <c r="AL37" s="9"/>
      <c r="AN37" s="10"/>
      <c r="AO37" s="11"/>
      <c r="AP37" s="12"/>
      <c r="AQ37" s="13"/>
      <c r="AS37" s="6"/>
      <c r="AT37" s="7"/>
      <c r="AU37" s="8"/>
      <c r="AV37" s="9"/>
      <c r="AX37" s="10"/>
      <c r="AY37" s="11"/>
      <c r="AZ37" s="12"/>
      <c r="BA37" s="13"/>
      <c r="BC37" s="6"/>
      <c r="BD37" s="7"/>
      <c r="BE37" s="8"/>
      <c r="BF37" s="9"/>
      <c r="BG37" s="4"/>
      <c r="BH37" s="46">
        <f t="shared" si="0"/>
        <v>0</v>
      </c>
      <c r="BI37" s="47">
        <f t="shared" si="1"/>
        <v>0</v>
      </c>
    </row>
    <row r="38" spans="1:61" x14ac:dyDescent="0.25">
      <c r="A38" s="44" t="s">
        <v>276</v>
      </c>
      <c r="B38" s="45">
        <v>6</v>
      </c>
      <c r="C38" s="44" t="s">
        <v>49</v>
      </c>
      <c r="D38" t="s">
        <v>50</v>
      </c>
      <c r="E38" s="6"/>
      <c r="F38" s="7"/>
      <c r="G38" s="8"/>
      <c r="H38" s="9"/>
      <c r="J38" s="10"/>
      <c r="K38" s="11"/>
      <c r="L38" s="12"/>
      <c r="M38" s="13"/>
      <c r="O38" s="6"/>
      <c r="P38" s="7"/>
      <c r="Q38" s="8"/>
      <c r="R38" s="9"/>
      <c r="T38" s="10"/>
      <c r="U38" s="11"/>
      <c r="V38" s="12"/>
      <c r="W38" s="13"/>
      <c r="Y38" s="6"/>
      <c r="Z38" s="7"/>
      <c r="AA38" s="8"/>
      <c r="AB38" s="9"/>
      <c r="AD38" s="10"/>
      <c r="AE38" s="11"/>
      <c r="AF38" s="12"/>
      <c r="AG38" s="13"/>
      <c r="AI38" s="6"/>
      <c r="AJ38" s="7"/>
      <c r="AK38" s="8"/>
      <c r="AL38" s="9"/>
      <c r="AN38" s="10"/>
      <c r="AO38" s="11"/>
      <c r="AP38" s="12"/>
      <c r="AQ38" s="13"/>
      <c r="AS38" s="6"/>
      <c r="AT38" s="7"/>
      <c r="AU38" s="8"/>
      <c r="AV38" s="9"/>
      <c r="AX38" s="10"/>
      <c r="AY38" s="11"/>
      <c r="AZ38" s="12"/>
      <c r="BA38" s="13"/>
      <c r="BC38" s="6"/>
      <c r="BD38" s="7"/>
      <c r="BE38" s="8"/>
      <c r="BF38" s="9"/>
      <c r="BG38" s="4"/>
      <c r="BH38" s="46">
        <f t="shared" si="0"/>
        <v>0</v>
      </c>
      <c r="BI38" s="47">
        <f t="shared" si="1"/>
        <v>0</v>
      </c>
    </row>
    <row r="39" spans="1:61" x14ac:dyDescent="0.25">
      <c r="A39" s="44" t="s">
        <v>277</v>
      </c>
      <c r="B39" s="45">
        <v>6</v>
      </c>
      <c r="C39" s="44" t="s">
        <v>49</v>
      </c>
      <c r="D39" t="s">
        <v>51</v>
      </c>
      <c r="E39" s="6"/>
      <c r="F39" s="7"/>
      <c r="G39" s="8"/>
      <c r="H39" s="9"/>
      <c r="J39" s="10"/>
      <c r="K39" s="11"/>
      <c r="L39" s="12"/>
      <c r="M39" s="13"/>
      <c r="O39" s="6"/>
      <c r="P39" s="7"/>
      <c r="Q39" s="8"/>
      <c r="R39" s="9"/>
      <c r="T39" s="10"/>
      <c r="U39" s="11"/>
      <c r="V39" s="12"/>
      <c r="W39" s="13"/>
      <c r="Y39" s="6"/>
      <c r="Z39" s="7"/>
      <c r="AA39" s="8"/>
      <c r="AB39" s="9"/>
      <c r="AD39" s="10"/>
      <c r="AE39" s="11"/>
      <c r="AF39" s="12"/>
      <c r="AG39" s="13"/>
      <c r="AI39" s="6"/>
      <c r="AJ39" s="7"/>
      <c r="AK39" s="8"/>
      <c r="AL39" s="9"/>
      <c r="AN39" s="10"/>
      <c r="AO39" s="11"/>
      <c r="AP39" s="12"/>
      <c r="AQ39" s="13"/>
      <c r="AS39" s="6"/>
      <c r="AT39" s="7"/>
      <c r="AU39" s="8"/>
      <c r="AV39" s="9"/>
      <c r="AX39" s="10"/>
      <c r="AY39" s="11"/>
      <c r="AZ39" s="12"/>
      <c r="BA39" s="13"/>
      <c r="BC39" s="6"/>
      <c r="BD39" s="7"/>
      <c r="BE39" s="8"/>
      <c r="BF39" s="9"/>
      <c r="BG39" s="4"/>
      <c r="BH39" s="46">
        <f t="shared" si="0"/>
        <v>0</v>
      </c>
      <c r="BI39" s="47">
        <f t="shared" si="1"/>
        <v>0</v>
      </c>
    </row>
    <row r="40" spans="1:61" x14ac:dyDescent="0.25">
      <c r="A40" s="44" t="s">
        <v>278</v>
      </c>
      <c r="B40" s="45">
        <v>6</v>
      </c>
      <c r="C40" s="44" t="s">
        <v>49</v>
      </c>
      <c r="D40" t="s">
        <v>51</v>
      </c>
      <c r="E40" s="6"/>
      <c r="F40" s="7"/>
      <c r="G40" s="8"/>
      <c r="H40" s="9"/>
      <c r="J40" s="10"/>
      <c r="K40" s="11"/>
      <c r="L40" s="12"/>
      <c r="M40" s="13"/>
      <c r="O40" s="6"/>
      <c r="P40" s="7"/>
      <c r="Q40" s="8"/>
      <c r="R40" s="9"/>
      <c r="T40" s="10"/>
      <c r="U40" s="11"/>
      <c r="V40" s="12"/>
      <c r="W40" s="13"/>
      <c r="Y40" s="6"/>
      <c r="Z40" s="7"/>
      <c r="AA40" s="8"/>
      <c r="AB40" s="9"/>
      <c r="AD40" s="10"/>
      <c r="AE40" s="11"/>
      <c r="AF40" s="12"/>
      <c r="AG40" s="13"/>
      <c r="AI40" s="6"/>
      <c r="AJ40" s="7"/>
      <c r="AK40" s="8"/>
      <c r="AL40" s="9"/>
      <c r="AN40" s="10"/>
      <c r="AO40" s="11"/>
      <c r="AP40" s="12"/>
      <c r="AQ40" s="13"/>
      <c r="AS40" s="6"/>
      <c r="AT40" s="7"/>
      <c r="AU40" s="8"/>
      <c r="AV40" s="9"/>
      <c r="AX40" s="10"/>
      <c r="AY40" s="11"/>
      <c r="AZ40" s="12"/>
      <c r="BA40" s="13"/>
      <c r="BC40" s="6"/>
      <c r="BD40" s="7"/>
      <c r="BE40" s="8"/>
      <c r="BF40" s="9"/>
      <c r="BG40" s="4"/>
      <c r="BH40" s="46">
        <f t="shared" si="0"/>
        <v>0</v>
      </c>
      <c r="BI40" s="47">
        <f t="shared" si="1"/>
        <v>0</v>
      </c>
    </row>
    <row r="41" spans="1:61" x14ac:dyDescent="0.25">
      <c r="A41" s="44" t="s">
        <v>246</v>
      </c>
      <c r="B41" s="45">
        <v>6</v>
      </c>
      <c r="C41" s="44" t="s">
        <v>49</v>
      </c>
      <c r="D41" t="s">
        <v>51</v>
      </c>
      <c r="E41" s="6"/>
      <c r="F41" s="7"/>
      <c r="G41" s="8"/>
      <c r="H41" s="9"/>
      <c r="J41" s="10"/>
      <c r="K41" s="11"/>
      <c r="L41" s="12"/>
      <c r="M41" s="13"/>
      <c r="O41" s="6"/>
      <c r="P41" s="7"/>
      <c r="Q41" s="8"/>
      <c r="R41" s="9"/>
      <c r="T41" s="10"/>
      <c r="U41" s="11"/>
      <c r="V41" s="12"/>
      <c r="W41" s="13"/>
      <c r="Y41" s="6"/>
      <c r="Z41" s="7"/>
      <c r="AA41" s="8"/>
      <c r="AB41" s="9"/>
      <c r="AD41" s="10"/>
      <c r="AE41" s="11"/>
      <c r="AF41" s="12"/>
      <c r="AG41" s="13"/>
      <c r="AI41" s="6"/>
      <c r="AJ41" s="7"/>
      <c r="AK41" s="8"/>
      <c r="AL41" s="9"/>
      <c r="AN41" s="10"/>
      <c r="AO41" s="11"/>
      <c r="AP41" s="12"/>
      <c r="AQ41" s="13"/>
      <c r="AS41" s="6"/>
      <c r="AT41" s="7"/>
      <c r="AU41" s="8"/>
      <c r="AV41" s="9"/>
      <c r="AX41" s="10"/>
      <c r="AY41" s="11"/>
      <c r="AZ41" s="12"/>
      <c r="BA41" s="13"/>
      <c r="BC41" s="6"/>
      <c r="BD41" s="7"/>
      <c r="BE41" s="8"/>
      <c r="BF41" s="9"/>
      <c r="BG41" s="4"/>
      <c r="BH41" s="46">
        <f t="shared" si="0"/>
        <v>0</v>
      </c>
      <c r="BI41" s="47">
        <f t="shared" si="1"/>
        <v>0</v>
      </c>
    </row>
    <row r="42" spans="1:61" x14ac:dyDescent="0.25">
      <c r="A42" s="44" t="s">
        <v>245</v>
      </c>
      <c r="B42" s="45">
        <v>7</v>
      </c>
      <c r="C42" s="44" t="s">
        <v>49</v>
      </c>
      <c r="D42" t="s">
        <v>51</v>
      </c>
      <c r="E42" s="6"/>
      <c r="F42" s="7"/>
      <c r="G42" s="8"/>
      <c r="H42" s="9"/>
      <c r="J42" s="10"/>
      <c r="K42" s="11"/>
      <c r="L42" s="12"/>
      <c r="M42" s="13"/>
      <c r="O42" s="6"/>
      <c r="P42" s="7"/>
      <c r="Q42" s="8"/>
      <c r="R42" s="9"/>
      <c r="T42" s="10"/>
      <c r="U42" s="11"/>
      <c r="V42" s="12"/>
      <c r="W42" s="13"/>
      <c r="Y42" s="6"/>
      <c r="Z42" s="7"/>
      <c r="AA42" s="8"/>
      <c r="AB42" s="9"/>
      <c r="AD42" s="10"/>
      <c r="AE42" s="11"/>
      <c r="AF42" s="12"/>
      <c r="AG42" s="13"/>
      <c r="AI42" s="6"/>
      <c r="AJ42" s="7"/>
      <c r="AK42" s="8"/>
      <c r="AL42" s="9"/>
      <c r="AN42" s="10"/>
      <c r="AO42" s="11"/>
      <c r="AP42" s="12"/>
      <c r="AQ42" s="13"/>
      <c r="AS42" s="6"/>
      <c r="AT42" s="7"/>
      <c r="AU42" s="8"/>
      <c r="AV42" s="9"/>
      <c r="AX42" s="10"/>
      <c r="AY42" s="11"/>
      <c r="AZ42" s="12"/>
      <c r="BA42" s="13"/>
      <c r="BC42" s="6"/>
      <c r="BD42" s="7"/>
      <c r="BE42" s="8"/>
      <c r="BF42" s="9"/>
      <c r="BG42" s="4"/>
      <c r="BH42" s="46">
        <f t="shared" si="0"/>
        <v>0</v>
      </c>
      <c r="BI42" s="47">
        <f t="shared" si="1"/>
        <v>0</v>
      </c>
    </row>
    <row r="43" spans="1:61" x14ac:dyDescent="0.25">
      <c r="A43" s="44" t="s">
        <v>244</v>
      </c>
      <c r="B43" s="45">
        <v>7</v>
      </c>
      <c r="C43" s="44" t="s">
        <v>49</v>
      </c>
      <c r="D43" t="s">
        <v>51</v>
      </c>
      <c r="E43" s="6"/>
      <c r="F43" s="7"/>
      <c r="G43" s="8"/>
      <c r="H43" s="9"/>
      <c r="J43" s="10"/>
      <c r="K43" s="11"/>
      <c r="L43" s="12"/>
      <c r="M43" s="13"/>
      <c r="O43" s="6"/>
      <c r="P43" s="7"/>
      <c r="Q43" s="8"/>
      <c r="R43" s="9"/>
      <c r="T43" s="10"/>
      <c r="U43" s="11"/>
      <c r="V43" s="12"/>
      <c r="W43" s="13"/>
      <c r="Y43" s="6"/>
      <c r="Z43" s="7"/>
      <c r="AA43" s="8"/>
      <c r="AB43" s="9"/>
      <c r="AD43" s="10"/>
      <c r="AE43" s="11"/>
      <c r="AF43" s="12"/>
      <c r="AG43" s="13"/>
      <c r="AI43" s="6"/>
      <c r="AJ43" s="7"/>
      <c r="AK43" s="8"/>
      <c r="AL43" s="9"/>
      <c r="AN43" s="10"/>
      <c r="AO43" s="11"/>
      <c r="AP43" s="12"/>
      <c r="AQ43" s="13"/>
      <c r="AS43" s="6"/>
      <c r="AT43" s="7"/>
      <c r="AU43" s="8"/>
      <c r="AV43" s="9"/>
      <c r="AX43" s="10"/>
      <c r="AY43" s="11"/>
      <c r="AZ43" s="12"/>
      <c r="BA43" s="13"/>
      <c r="BC43" s="6"/>
      <c r="BD43" s="7"/>
      <c r="BE43" s="8"/>
      <c r="BF43" s="9"/>
      <c r="BG43" s="4"/>
      <c r="BH43" s="46">
        <f t="shared" si="0"/>
        <v>0</v>
      </c>
      <c r="BI43" s="47">
        <f t="shared" si="1"/>
        <v>0</v>
      </c>
    </row>
    <row r="44" spans="1:61" x14ac:dyDescent="0.25">
      <c r="A44" s="44" t="s">
        <v>243</v>
      </c>
      <c r="B44" s="45">
        <v>7</v>
      </c>
      <c r="C44" s="44" t="s">
        <v>49</v>
      </c>
      <c r="D44" t="s">
        <v>51</v>
      </c>
      <c r="E44" s="6"/>
      <c r="F44" s="7"/>
      <c r="G44" s="8"/>
      <c r="H44" s="9"/>
      <c r="J44" s="10"/>
      <c r="K44" s="11"/>
      <c r="L44" s="12"/>
      <c r="M44" s="13"/>
      <c r="O44" s="6"/>
      <c r="P44" s="7"/>
      <c r="Q44" s="8"/>
      <c r="R44" s="9"/>
      <c r="T44" s="10"/>
      <c r="U44" s="11"/>
      <c r="V44" s="12"/>
      <c r="W44" s="13"/>
      <c r="Y44" s="6"/>
      <c r="Z44" s="7"/>
      <c r="AA44" s="8"/>
      <c r="AB44" s="9"/>
      <c r="AD44" s="10"/>
      <c r="AE44" s="11"/>
      <c r="AF44" s="12"/>
      <c r="AG44" s="13"/>
      <c r="AI44" s="6"/>
      <c r="AJ44" s="7"/>
      <c r="AK44" s="8"/>
      <c r="AL44" s="9"/>
      <c r="AN44" s="10"/>
      <c r="AO44" s="11"/>
      <c r="AP44" s="12"/>
      <c r="AQ44" s="13"/>
      <c r="AS44" s="6"/>
      <c r="AT44" s="7"/>
      <c r="AU44" s="8"/>
      <c r="AV44" s="9"/>
      <c r="AX44" s="10"/>
      <c r="AY44" s="11"/>
      <c r="AZ44" s="12"/>
      <c r="BA44" s="13"/>
      <c r="BC44" s="6"/>
      <c r="BD44" s="7"/>
      <c r="BE44" s="8"/>
      <c r="BF44" s="9"/>
      <c r="BG44" s="4"/>
      <c r="BH44" s="46">
        <f t="shared" si="0"/>
        <v>0</v>
      </c>
      <c r="BI44" s="47">
        <f t="shared" si="1"/>
        <v>0</v>
      </c>
    </row>
    <row r="45" spans="1:61" x14ac:dyDescent="0.25">
      <c r="A45" s="44" t="s">
        <v>242</v>
      </c>
      <c r="B45" s="45">
        <v>8</v>
      </c>
      <c r="C45" s="44" t="s">
        <v>49</v>
      </c>
      <c r="D45" t="s">
        <v>61</v>
      </c>
      <c r="E45" s="6"/>
      <c r="F45" s="7"/>
      <c r="G45" s="8"/>
      <c r="H45" s="9"/>
      <c r="J45" s="10"/>
      <c r="K45" s="11"/>
      <c r="L45" s="12"/>
      <c r="M45" s="13"/>
      <c r="O45" s="6"/>
      <c r="P45" s="7"/>
      <c r="Q45" s="8"/>
      <c r="R45" s="9"/>
      <c r="T45" s="10"/>
      <c r="U45" s="11"/>
      <c r="V45" s="12"/>
      <c r="W45" s="13"/>
      <c r="Y45" s="6"/>
      <c r="Z45" s="7"/>
      <c r="AA45" s="8"/>
      <c r="AB45" s="9"/>
      <c r="AD45" s="10"/>
      <c r="AE45" s="11"/>
      <c r="AF45" s="12"/>
      <c r="AG45" s="13"/>
      <c r="AI45" s="6"/>
      <c r="AJ45" s="7"/>
      <c r="AK45" s="8"/>
      <c r="AL45" s="9"/>
      <c r="AN45" s="10"/>
      <c r="AO45" s="11"/>
      <c r="AP45" s="12"/>
      <c r="AQ45" s="13"/>
      <c r="AS45" s="6"/>
      <c r="AT45" s="7"/>
      <c r="AU45" s="8"/>
      <c r="AV45" s="9"/>
      <c r="AX45" s="10"/>
      <c r="AY45" s="11"/>
      <c r="AZ45" s="12"/>
      <c r="BA45" s="13"/>
      <c r="BC45" s="6"/>
      <c r="BD45" s="7"/>
      <c r="BE45" s="8"/>
      <c r="BF45" s="9"/>
      <c r="BG45" s="4"/>
      <c r="BH45" s="46">
        <f t="shared" si="0"/>
        <v>0</v>
      </c>
      <c r="BI45" s="47">
        <f t="shared" si="1"/>
        <v>0</v>
      </c>
    </row>
    <row r="46" spans="1:61" x14ac:dyDescent="0.25">
      <c r="A46" s="44" t="s">
        <v>241</v>
      </c>
      <c r="B46" s="45">
        <v>8</v>
      </c>
      <c r="C46" s="44" t="s">
        <v>49</v>
      </c>
      <c r="D46" t="s">
        <v>61</v>
      </c>
      <c r="E46" s="6"/>
      <c r="F46" s="7"/>
      <c r="G46" s="8"/>
      <c r="H46" s="9"/>
      <c r="J46" s="10"/>
      <c r="K46" s="11"/>
      <c r="L46" s="12"/>
      <c r="M46" s="13"/>
      <c r="O46" s="6"/>
      <c r="P46" s="7"/>
      <c r="Q46" s="8"/>
      <c r="R46" s="9"/>
      <c r="T46" s="10"/>
      <c r="U46" s="11"/>
      <c r="V46" s="12"/>
      <c r="W46" s="13"/>
      <c r="Y46" s="6"/>
      <c r="Z46" s="7"/>
      <c r="AA46" s="8"/>
      <c r="AB46" s="9"/>
      <c r="AD46" s="10"/>
      <c r="AE46" s="11"/>
      <c r="AF46" s="12"/>
      <c r="AG46" s="13"/>
      <c r="AI46" s="6"/>
      <c r="AJ46" s="7"/>
      <c r="AK46" s="8"/>
      <c r="AL46" s="9"/>
      <c r="AN46" s="10"/>
      <c r="AO46" s="11"/>
      <c r="AP46" s="12"/>
      <c r="AQ46" s="13"/>
      <c r="AS46" s="6"/>
      <c r="AT46" s="7"/>
      <c r="AU46" s="8"/>
      <c r="AV46" s="9"/>
      <c r="AX46" s="10"/>
      <c r="AY46" s="11"/>
      <c r="AZ46" s="12"/>
      <c r="BA46" s="13"/>
      <c r="BC46" s="6"/>
      <c r="BD46" s="7"/>
      <c r="BE46" s="8"/>
      <c r="BF46" s="9"/>
      <c r="BG46" s="4"/>
      <c r="BH46" s="46">
        <f t="shared" si="0"/>
        <v>0</v>
      </c>
      <c r="BI46" s="47">
        <f t="shared" si="1"/>
        <v>0</v>
      </c>
    </row>
    <row r="47" spans="1:61" x14ac:dyDescent="0.25">
      <c r="A47" s="44" t="s">
        <v>240</v>
      </c>
      <c r="B47" s="45">
        <v>8</v>
      </c>
      <c r="C47" s="44" t="s">
        <v>49</v>
      </c>
      <c r="D47" t="s">
        <v>61</v>
      </c>
      <c r="E47" s="6"/>
      <c r="F47" s="7"/>
      <c r="G47" s="8"/>
      <c r="H47" s="9"/>
      <c r="J47" s="10"/>
      <c r="K47" s="11"/>
      <c r="L47" s="12"/>
      <c r="M47" s="13"/>
      <c r="O47" s="6"/>
      <c r="P47" s="7"/>
      <c r="Q47" s="8"/>
      <c r="R47" s="9"/>
      <c r="T47" s="10"/>
      <c r="U47" s="11"/>
      <c r="V47" s="12"/>
      <c r="W47" s="13"/>
      <c r="Y47" s="6"/>
      <c r="Z47" s="7"/>
      <c r="AA47" s="8"/>
      <c r="AB47" s="9"/>
      <c r="AD47" s="10"/>
      <c r="AE47" s="11"/>
      <c r="AF47" s="12"/>
      <c r="AG47" s="13"/>
      <c r="AI47" s="6"/>
      <c r="AJ47" s="7"/>
      <c r="AK47" s="8"/>
      <c r="AL47" s="9"/>
      <c r="AN47" s="10"/>
      <c r="AO47" s="11"/>
      <c r="AP47" s="12"/>
      <c r="AQ47" s="13"/>
      <c r="AS47" s="6"/>
      <c r="AT47" s="7"/>
      <c r="AU47" s="8"/>
      <c r="AV47" s="9"/>
      <c r="AX47" s="10"/>
      <c r="AY47" s="11"/>
      <c r="AZ47" s="12"/>
      <c r="BA47" s="13"/>
      <c r="BC47" s="6"/>
      <c r="BD47" s="7"/>
      <c r="BE47" s="8"/>
      <c r="BF47" s="9"/>
      <c r="BG47" s="4"/>
      <c r="BH47" s="46">
        <f t="shared" si="0"/>
        <v>0</v>
      </c>
      <c r="BI47" s="47">
        <f t="shared" si="1"/>
        <v>0</v>
      </c>
    </row>
    <row r="48" spans="1:61" x14ac:dyDescent="0.25">
      <c r="A48" s="44" t="s">
        <v>239</v>
      </c>
      <c r="B48" s="45">
        <v>9</v>
      </c>
      <c r="C48" s="44" t="s">
        <v>49</v>
      </c>
      <c r="D48" t="s">
        <v>57</v>
      </c>
      <c r="E48" s="6"/>
      <c r="F48" s="7"/>
      <c r="G48" s="8"/>
      <c r="H48" s="9"/>
      <c r="J48" s="10"/>
      <c r="K48" s="11"/>
      <c r="L48" s="12"/>
      <c r="M48" s="13"/>
      <c r="O48" s="6"/>
      <c r="P48" s="7"/>
      <c r="Q48" s="8"/>
      <c r="R48" s="9"/>
      <c r="T48" s="10"/>
      <c r="U48" s="11"/>
      <c r="V48" s="12"/>
      <c r="W48" s="13"/>
      <c r="Y48" s="6"/>
      <c r="Z48" s="7"/>
      <c r="AA48" s="8"/>
      <c r="AB48" s="9"/>
      <c r="AD48" s="10"/>
      <c r="AE48" s="11"/>
      <c r="AF48" s="12"/>
      <c r="AG48" s="13"/>
      <c r="AI48" s="6"/>
      <c r="AJ48" s="7"/>
      <c r="AK48" s="8"/>
      <c r="AL48" s="9"/>
      <c r="AN48" s="10"/>
      <c r="AO48" s="11"/>
      <c r="AP48" s="12"/>
      <c r="AQ48" s="13"/>
      <c r="AS48" s="6"/>
      <c r="AT48" s="7"/>
      <c r="AU48" s="8"/>
      <c r="AV48" s="9"/>
      <c r="AX48" s="10"/>
      <c r="AY48" s="11"/>
      <c r="AZ48" s="12"/>
      <c r="BA48" s="13"/>
      <c r="BC48" s="6"/>
      <c r="BD48" s="7"/>
      <c r="BE48" s="8"/>
      <c r="BF48" s="9"/>
      <c r="BG48" s="4"/>
      <c r="BH48" s="46">
        <f t="shared" si="0"/>
        <v>0</v>
      </c>
      <c r="BI48" s="47">
        <f t="shared" si="1"/>
        <v>0</v>
      </c>
    </row>
    <row r="49" spans="1:61" x14ac:dyDescent="0.25">
      <c r="A49" s="44" t="s">
        <v>238</v>
      </c>
      <c r="B49" s="45">
        <v>9</v>
      </c>
      <c r="C49" s="44" t="s">
        <v>49</v>
      </c>
      <c r="D49" t="s">
        <v>57</v>
      </c>
      <c r="E49" s="6"/>
      <c r="F49" s="7"/>
      <c r="G49" s="8"/>
      <c r="H49" s="9"/>
      <c r="J49" s="10"/>
      <c r="K49" s="11"/>
      <c r="L49" s="12"/>
      <c r="M49" s="13"/>
      <c r="O49" s="6"/>
      <c r="P49" s="7"/>
      <c r="Q49" s="8"/>
      <c r="R49" s="9"/>
      <c r="T49" s="10"/>
      <c r="U49" s="11"/>
      <c r="V49" s="12"/>
      <c r="W49" s="13"/>
      <c r="Y49" s="6"/>
      <c r="Z49" s="7"/>
      <c r="AA49" s="8"/>
      <c r="AB49" s="9"/>
      <c r="AD49" s="10"/>
      <c r="AE49" s="11"/>
      <c r="AF49" s="12"/>
      <c r="AG49" s="13"/>
      <c r="AI49" s="6"/>
      <c r="AJ49" s="7"/>
      <c r="AK49" s="8"/>
      <c r="AL49" s="9"/>
      <c r="AN49" s="10"/>
      <c r="AO49" s="11"/>
      <c r="AP49" s="12"/>
      <c r="AQ49" s="13"/>
      <c r="AS49" s="6"/>
      <c r="AT49" s="7"/>
      <c r="AU49" s="8"/>
      <c r="AV49" s="9"/>
      <c r="AX49" s="10"/>
      <c r="AY49" s="11"/>
      <c r="AZ49" s="12"/>
      <c r="BA49" s="13"/>
      <c r="BC49" s="6"/>
      <c r="BD49" s="7"/>
      <c r="BE49" s="8"/>
      <c r="BF49" s="9"/>
      <c r="BG49" s="4"/>
      <c r="BH49" s="46">
        <f t="shared" si="0"/>
        <v>0</v>
      </c>
      <c r="BI49" s="47">
        <f t="shared" si="1"/>
        <v>0</v>
      </c>
    </row>
    <row r="50" spans="1:61" x14ac:dyDescent="0.25">
      <c r="A50" s="44" t="s">
        <v>237</v>
      </c>
      <c r="B50" s="45">
        <v>8</v>
      </c>
      <c r="C50" s="44" t="s">
        <v>49</v>
      </c>
      <c r="D50" t="s">
        <v>48</v>
      </c>
      <c r="E50" s="6"/>
      <c r="F50" s="7"/>
      <c r="G50" s="8"/>
      <c r="H50" s="9"/>
      <c r="J50" s="10"/>
      <c r="K50" s="11"/>
      <c r="L50" s="12"/>
      <c r="M50" s="13"/>
      <c r="O50" s="6"/>
      <c r="P50" s="7"/>
      <c r="Q50" s="8"/>
      <c r="R50" s="9"/>
      <c r="T50" s="10"/>
      <c r="U50" s="11"/>
      <c r="V50" s="12"/>
      <c r="W50" s="13"/>
      <c r="Y50" s="6"/>
      <c r="Z50" s="7"/>
      <c r="AA50" s="8"/>
      <c r="AB50" s="9"/>
      <c r="AD50" s="10"/>
      <c r="AE50" s="11"/>
      <c r="AF50" s="12"/>
      <c r="AG50" s="13"/>
      <c r="AI50" s="6"/>
      <c r="AJ50" s="7"/>
      <c r="AK50" s="8"/>
      <c r="AL50" s="9"/>
      <c r="AN50" s="10"/>
      <c r="AO50" s="11"/>
      <c r="AP50" s="12"/>
      <c r="AQ50" s="13"/>
      <c r="AS50" s="6"/>
      <c r="AT50" s="7"/>
      <c r="AU50" s="8"/>
      <c r="AV50" s="9"/>
      <c r="AX50" s="10"/>
      <c r="AY50" s="11"/>
      <c r="AZ50" s="12"/>
      <c r="BA50" s="13"/>
      <c r="BC50" s="6"/>
      <c r="BD50" s="7"/>
      <c r="BE50" s="8"/>
      <c r="BF50" s="9"/>
      <c r="BG50" s="4"/>
      <c r="BH50" s="46">
        <f t="shared" si="0"/>
        <v>0</v>
      </c>
      <c r="BI50" s="47">
        <f t="shared" si="1"/>
        <v>0</v>
      </c>
    </row>
    <row r="51" spans="1:61" x14ac:dyDescent="0.25">
      <c r="A51" s="44" t="s">
        <v>236</v>
      </c>
      <c r="B51" s="45">
        <v>8</v>
      </c>
      <c r="C51" s="44" t="s">
        <v>49</v>
      </c>
      <c r="D51" t="s">
        <v>48</v>
      </c>
      <c r="E51" s="6"/>
      <c r="F51" s="7"/>
      <c r="G51" s="8"/>
      <c r="H51" s="9"/>
      <c r="J51" s="10"/>
      <c r="K51" s="11"/>
      <c r="L51" s="12"/>
      <c r="M51" s="13"/>
      <c r="O51" s="6"/>
      <c r="P51" s="7"/>
      <c r="Q51" s="8"/>
      <c r="R51" s="9"/>
      <c r="T51" s="10"/>
      <c r="U51" s="11"/>
      <c r="V51" s="12"/>
      <c r="W51" s="13"/>
      <c r="Y51" s="6"/>
      <c r="Z51" s="7"/>
      <c r="AA51" s="8"/>
      <c r="AB51" s="9"/>
      <c r="AD51" s="10"/>
      <c r="AE51" s="11"/>
      <c r="AF51" s="12"/>
      <c r="AG51" s="13"/>
      <c r="AI51" s="6"/>
      <c r="AJ51" s="7"/>
      <c r="AK51" s="8"/>
      <c r="AL51" s="9"/>
      <c r="AN51" s="10"/>
      <c r="AO51" s="11"/>
      <c r="AP51" s="12"/>
      <c r="AQ51" s="13"/>
      <c r="AS51" s="6"/>
      <c r="AT51" s="7"/>
      <c r="AU51" s="8"/>
      <c r="AV51" s="9"/>
      <c r="AX51" s="10"/>
      <c r="AY51" s="11"/>
      <c r="AZ51" s="12"/>
      <c r="BA51" s="13"/>
      <c r="BC51" s="6"/>
      <c r="BD51" s="7"/>
      <c r="BE51" s="8"/>
      <c r="BF51" s="9"/>
      <c r="BG51" s="4"/>
      <c r="BH51" s="46">
        <f t="shared" si="0"/>
        <v>0</v>
      </c>
      <c r="BI51" s="47">
        <f t="shared" si="1"/>
        <v>0</v>
      </c>
    </row>
    <row r="52" spans="1:61" x14ac:dyDescent="0.25">
      <c r="A52" s="44" t="s">
        <v>235</v>
      </c>
      <c r="B52" s="45">
        <v>8</v>
      </c>
      <c r="C52" s="44" t="s">
        <v>49</v>
      </c>
      <c r="D52" t="s">
        <v>48</v>
      </c>
      <c r="E52" s="6"/>
      <c r="F52" s="7"/>
      <c r="G52" s="8"/>
      <c r="H52" s="9"/>
      <c r="J52" s="10"/>
      <c r="K52" s="11"/>
      <c r="L52" s="12"/>
      <c r="M52" s="13"/>
      <c r="O52" s="6"/>
      <c r="P52" s="7"/>
      <c r="Q52" s="8"/>
      <c r="R52" s="9"/>
      <c r="T52" s="10"/>
      <c r="U52" s="11"/>
      <c r="V52" s="12"/>
      <c r="W52" s="13"/>
      <c r="Y52" s="6"/>
      <c r="Z52" s="7"/>
      <c r="AA52" s="8"/>
      <c r="AB52" s="9"/>
      <c r="AD52" s="10"/>
      <c r="AE52" s="11"/>
      <c r="AF52" s="12"/>
      <c r="AG52" s="13"/>
      <c r="AI52" s="6"/>
      <c r="AJ52" s="7"/>
      <c r="AK52" s="8"/>
      <c r="AL52" s="9"/>
      <c r="AN52" s="10"/>
      <c r="AO52" s="11"/>
      <c r="AP52" s="12"/>
      <c r="AQ52" s="13"/>
      <c r="AS52" s="6"/>
      <c r="AT52" s="7"/>
      <c r="AU52" s="8"/>
      <c r="AV52" s="9"/>
      <c r="AX52" s="10"/>
      <c r="AY52" s="11"/>
      <c r="AZ52" s="12"/>
      <c r="BA52" s="13"/>
      <c r="BC52" s="6"/>
      <c r="BD52" s="7"/>
      <c r="BE52" s="8"/>
      <c r="BF52" s="9"/>
      <c r="BG52" s="4"/>
      <c r="BH52" s="46">
        <f t="shared" si="0"/>
        <v>0</v>
      </c>
      <c r="BI52" s="47">
        <f t="shared" si="1"/>
        <v>0</v>
      </c>
    </row>
    <row r="53" spans="1:61" x14ac:dyDescent="0.25">
      <c r="A53" s="44" t="s">
        <v>234</v>
      </c>
      <c r="B53" s="45">
        <v>8</v>
      </c>
      <c r="C53" s="44" t="s">
        <v>49</v>
      </c>
      <c r="D53" t="s">
        <v>48</v>
      </c>
      <c r="E53" s="6"/>
      <c r="F53" s="7"/>
      <c r="G53" s="8"/>
      <c r="H53" s="9"/>
      <c r="J53" s="10"/>
      <c r="K53" s="11"/>
      <c r="L53" s="12"/>
      <c r="M53" s="13"/>
      <c r="O53" s="6"/>
      <c r="P53" s="7"/>
      <c r="Q53" s="8"/>
      <c r="R53" s="9"/>
      <c r="T53" s="10"/>
      <c r="U53" s="11"/>
      <c r="V53" s="12"/>
      <c r="W53" s="13"/>
      <c r="Y53" s="6"/>
      <c r="Z53" s="7"/>
      <c r="AA53" s="8"/>
      <c r="AB53" s="9"/>
      <c r="AD53" s="10"/>
      <c r="AE53" s="11"/>
      <c r="AF53" s="12"/>
      <c r="AG53" s="13"/>
      <c r="AI53" s="6"/>
      <c r="AJ53" s="7"/>
      <c r="AK53" s="8"/>
      <c r="AL53" s="9"/>
      <c r="AN53" s="10"/>
      <c r="AO53" s="11"/>
      <c r="AP53" s="12"/>
      <c r="AQ53" s="13"/>
      <c r="AS53" s="6"/>
      <c r="AT53" s="7"/>
      <c r="AU53" s="8"/>
      <c r="AV53" s="9"/>
      <c r="AX53" s="10"/>
      <c r="AY53" s="11"/>
      <c r="AZ53" s="12"/>
      <c r="BA53" s="13"/>
      <c r="BC53" s="6"/>
      <c r="BD53" s="7"/>
      <c r="BE53" s="8"/>
      <c r="BF53" s="9"/>
      <c r="BG53" s="4"/>
      <c r="BH53" s="46">
        <f t="shared" si="0"/>
        <v>0</v>
      </c>
      <c r="BI53" s="47">
        <f t="shared" si="1"/>
        <v>0</v>
      </c>
    </row>
    <row r="54" spans="1:61" x14ac:dyDescent="0.25">
      <c r="A54" s="44" t="s">
        <v>333</v>
      </c>
      <c r="B54" s="45">
        <v>8</v>
      </c>
      <c r="C54" s="44" t="s">
        <v>49</v>
      </c>
      <c r="D54" t="s">
        <v>48</v>
      </c>
      <c r="E54" s="6"/>
      <c r="F54" s="7"/>
      <c r="G54" s="8"/>
      <c r="H54" s="9"/>
      <c r="J54" s="10"/>
      <c r="K54" s="11"/>
      <c r="L54" s="12"/>
      <c r="M54" s="13"/>
      <c r="O54" s="6"/>
      <c r="P54" s="7"/>
      <c r="Q54" s="8"/>
      <c r="R54" s="9"/>
      <c r="T54" s="10"/>
      <c r="U54" s="11"/>
      <c r="V54" s="12"/>
      <c r="W54" s="13"/>
      <c r="Y54" s="6"/>
      <c r="Z54" s="7"/>
      <c r="AA54" s="8"/>
      <c r="AB54" s="9"/>
      <c r="AD54" s="10"/>
      <c r="AE54" s="11"/>
      <c r="AF54" s="12"/>
      <c r="AG54" s="13"/>
      <c r="AI54" s="6"/>
      <c r="AJ54" s="7"/>
      <c r="AK54" s="8"/>
      <c r="AL54" s="9"/>
      <c r="AN54" s="10"/>
      <c r="AO54" s="11"/>
      <c r="AP54" s="12"/>
      <c r="AQ54" s="13"/>
      <c r="AS54" s="6"/>
      <c r="AT54" s="7"/>
      <c r="AU54" s="8"/>
      <c r="AV54" s="9"/>
      <c r="AX54" s="10"/>
      <c r="AY54" s="11"/>
      <c r="AZ54" s="12"/>
      <c r="BA54" s="13"/>
      <c r="BC54" s="6"/>
      <c r="BD54" s="7"/>
      <c r="BE54" s="8"/>
      <c r="BF54" s="9"/>
      <c r="BG54" s="4"/>
      <c r="BH54" s="46">
        <f t="shared" si="0"/>
        <v>0</v>
      </c>
      <c r="BI54" s="47">
        <f t="shared" si="1"/>
        <v>0</v>
      </c>
    </row>
    <row r="55" spans="1:61" x14ac:dyDescent="0.25">
      <c r="A55" s="44" t="s">
        <v>233</v>
      </c>
      <c r="B55" s="45">
        <v>9</v>
      </c>
      <c r="C55" s="44" t="s">
        <v>49</v>
      </c>
      <c r="D55" t="s">
        <v>48</v>
      </c>
      <c r="E55" s="6"/>
      <c r="F55" s="7"/>
      <c r="G55" s="8"/>
      <c r="H55" s="9"/>
      <c r="J55" s="10"/>
      <c r="K55" s="11"/>
      <c r="L55" s="12"/>
      <c r="M55" s="13"/>
      <c r="O55" s="6"/>
      <c r="P55" s="7"/>
      <c r="Q55" s="8"/>
      <c r="R55" s="9"/>
      <c r="T55" s="10"/>
      <c r="U55" s="11"/>
      <c r="V55" s="12"/>
      <c r="W55" s="13"/>
      <c r="Y55" s="6"/>
      <c r="Z55" s="7"/>
      <c r="AA55" s="8"/>
      <c r="AB55" s="9"/>
      <c r="AD55" s="10"/>
      <c r="AE55" s="11"/>
      <c r="AF55" s="12"/>
      <c r="AG55" s="13"/>
      <c r="AI55" s="6"/>
      <c r="AJ55" s="7"/>
      <c r="AK55" s="8"/>
      <c r="AL55" s="9"/>
      <c r="AN55" s="10"/>
      <c r="AO55" s="11"/>
      <c r="AP55" s="12"/>
      <c r="AQ55" s="13"/>
      <c r="AS55" s="6"/>
      <c r="AT55" s="7"/>
      <c r="AU55" s="8"/>
      <c r="AV55" s="9"/>
      <c r="AX55" s="10"/>
      <c r="AY55" s="11"/>
      <c r="AZ55" s="12"/>
      <c r="BA55" s="13"/>
      <c r="BC55" s="6"/>
      <c r="BD55" s="7"/>
      <c r="BE55" s="8"/>
      <c r="BF55" s="9"/>
      <c r="BG55" s="4"/>
      <c r="BH55" s="46">
        <f t="shared" si="0"/>
        <v>0</v>
      </c>
      <c r="BI55" s="47">
        <f t="shared" si="1"/>
        <v>0</v>
      </c>
    </row>
    <row r="56" spans="1:61" x14ac:dyDescent="0.25">
      <c r="A56" s="44" t="s">
        <v>232</v>
      </c>
      <c r="B56" s="45">
        <v>9</v>
      </c>
      <c r="C56" s="44" t="s">
        <v>49</v>
      </c>
      <c r="D56" t="s">
        <v>48</v>
      </c>
      <c r="E56" s="6"/>
      <c r="F56" s="7"/>
      <c r="G56" s="8"/>
      <c r="H56" s="9"/>
      <c r="J56" s="10"/>
      <c r="K56" s="11"/>
      <c r="L56" s="12"/>
      <c r="M56" s="13"/>
      <c r="O56" s="6"/>
      <c r="P56" s="7"/>
      <c r="Q56" s="8"/>
      <c r="R56" s="9"/>
      <c r="T56" s="10"/>
      <c r="U56" s="11"/>
      <c r="V56" s="12"/>
      <c r="W56" s="13"/>
      <c r="Y56" s="6"/>
      <c r="Z56" s="7"/>
      <c r="AA56" s="8"/>
      <c r="AB56" s="9"/>
      <c r="AD56" s="10"/>
      <c r="AE56" s="11"/>
      <c r="AF56" s="12"/>
      <c r="AG56" s="13"/>
      <c r="AI56" s="6"/>
      <c r="AJ56" s="7"/>
      <c r="AK56" s="8"/>
      <c r="AL56" s="9"/>
      <c r="AN56" s="10"/>
      <c r="AO56" s="11"/>
      <c r="AP56" s="12"/>
      <c r="AQ56" s="13"/>
      <c r="AS56" s="6"/>
      <c r="AT56" s="7"/>
      <c r="AU56" s="8"/>
      <c r="AV56" s="9"/>
      <c r="AX56" s="10"/>
      <c r="AY56" s="11"/>
      <c r="AZ56" s="12"/>
      <c r="BA56" s="13"/>
      <c r="BC56" s="6"/>
      <c r="BD56" s="7"/>
      <c r="BE56" s="8"/>
      <c r="BF56" s="9"/>
      <c r="BG56" s="4"/>
      <c r="BH56" s="46">
        <f t="shared" si="0"/>
        <v>0</v>
      </c>
      <c r="BI56" s="47">
        <f t="shared" si="1"/>
        <v>0</v>
      </c>
    </row>
    <row r="57" spans="1:61" x14ac:dyDescent="0.25">
      <c r="A57" s="44" t="s">
        <v>227</v>
      </c>
      <c r="B57" s="45">
        <v>9</v>
      </c>
      <c r="C57" s="44" t="s">
        <v>49</v>
      </c>
      <c r="D57" t="s">
        <v>48</v>
      </c>
      <c r="E57" s="6"/>
      <c r="F57" s="7"/>
      <c r="G57" s="8"/>
      <c r="H57" s="9"/>
      <c r="J57" s="10"/>
      <c r="K57" s="11"/>
      <c r="L57" s="12"/>
      <c r="M57" s="13"/>
      <c r="O57" s="6"/>
      <c r="P57" s="7"/>
      <c r="Q57" s="8"/>
      <c r="R57" s="9"/>
      <c r="T57" s="10"/>
      <c r="U57" s="11"/>
      <c r="V57" s="12"/>
      <c r="W57" s="13"/>
      <c r="Y57" s="6"/>
      <c r="Z57" s="7"/>
      <c r="AA57" s="8"/>
      <c r="AB57" s="9"/>
      <c r="AD57" s="10"/>
      <c r="AE57" s="11"/>
      <c r="AF57" s="12"/>
      <c r="AG57" s="13"/>
      <c r="AI57" s="6"/>
      <c r="AJ57" s="7"/>
      <c r="AK57" s="8"/>
      <c r="AL57" s="9"/>
      <c r="AN57" s="10"/>
      <c r="AO57" s="11"/>
      <c r="AP57" s="12"/>
      <c r="AQ57" s="13"/>
      <c r="AS57" s="6"/>
      <c r="AT57" s="7"/>
      <c r="AU57" s="8"/>
      <c r="AV57" s="9"/>
      <c r="AX57" s="10"/>
      <c r="AY57" s="11"/>
      <c r="AZ57" s="12"/>
      <c r="BA57" s="13"/>
      <c r="BC57" s="6"/>
      <c r="BD57" s="7"/>
      <c r="BE57" s="8"/>
      <c r="BF57" s="9"/>
      <c r="BG57" s="4"/>
      <c r="BH57" s="46">
        <f t="shared" si="0"/>
        <v>0</v>
      </c>
      <c r="BI57" s="47">
        <f t="shared" si="1"/>
        <v>0</v>
      </c>
    </row>
    <row r="58" spans="1:61" x14ac:dyDescent="0.25">
      <c r="A58" s="44" t="s">
        <v>226</v>
      </c>
      <c r="B58" s="45">
        <v>1</v>
      </c>
      <c r="C58" s="44" t="s">
        <v>49</v>
      </c>
      <c r="D58" t="s">
        <v>62</v>
      </c>
      <c r="E58" s="6"/>
      <c r="F58" s="7"/>
      <c r="G58" s="8"/>
      <c r="H58" s="9"/>
      <c r="J58" s="10"/>
      <c r="K58" s="11"/>
      <c r="L58" s="12"/>
      <c r="M58" s="13"/>
      <c r="O58" s="6"/>
      <c r="P58" s="7"/>
      <c r="Q58" s="8"/>
      <c r="R58" s="9"/>
      <c r="T58" s="10"/>
      <c r="U58" s="11"/>
      <c r="V58" s="12"/>
      <c r="W58" s="13"/>
      <c r="Y58" s="6"/>
      <c r="Z58" s="7"/>
      <c r="AA58" s="8"/>
      <c r="AB58" s="9"/>
      <c r="AD58" s="10"/>
      <c r="AE58" s="11"/>
      <c r="AF58" s="12"/>
      <c r="AG58" s="13"/>
      <c r="AI58" s="6"/>
      <c r="AJ58" s="7"/>
      <c r="AK58" s="8"/>
      <c r="AL58" s="9"/>
      <c r="AN58" s="10"/>
      <c r="AO58" s="11"/>
      <c r="AP58" s="12"/>
      <c r="AQ58" s="13"/>
      <c r="AS58" s="6"/>
      <c r="AT58" s="7"/>
      <c r="AU58" s="8"/>
      <c r="AV58" s="9"/>
      <c r="AX58" s="10"/>
      <c r="AY58" s="11"/>
      <c r="AZ58" s="12"/>
      <c r="BA58" s="13"/>
      <c r="BC58" s="6"/>
      <c r="BD58" s="7"/>
      <c r="BE58" s="8"/>
      <c r="BF58" s="9"/>
      <c r="BG58" s="4"/>
      <c r="BH58" s="46">
        <f t="shared" si="0"/>
        <v>0</v>
      </c>
      <c r="BI58" s="47">
        <f t="shared" si="1"/>
        <v>0</v>
      </c>
    </row>
    <row r="59" spans="1:61" x14ac:dyDescent="0.25">
      <c r="A59" s="44" t="s">
        <v>225</v>
      </c>
      <c r="B59" s="45">
        <v>1</v>
      </c>
      <c r="C59" s="44" t="s">
        <v>49</v>
      </c>
      <c r="D59" t="s">
        <v>62</v>
      </c>
      <c r="E59" s="6"/>
      <c r="F59" s="7"/>
      <c r="G59" s="8"/>
      <c r="H59" s="9"/>
      <c r="J59" s="10"/>
      <c r="K59" s="11"/>
      <c r="L59" s="12"/>
      <c r="M59" s="13"/>
      <c r="O59" s="6"/>
      <c r="P59" s="7"/>
      <c r="Q59" s="8"/>
      <c r="R59" s="9"/>
      <c r="T59" s="10"/>
      <c r="U59" s="11"/>
      <c r="V59" s="12"/>
      <c r="W59" s="13"/>
      <c r="Y59" s="6"/>
      <c r="Z59" s="7"/>
      <c r="AA59" s="8"/>
      <c r="AB59" s="9"/>
      <c r="AD59" s="10"/>
      <c r="AE59" s="11"/>
      <c r="AF59" s="12"/>
      <c r="AG59" s="13"/>
      <c r="AI59" s="6"/>
      <c r="AJ59" s="7"/>
      <c r="AK59" s="8"/>
      <c r="AL59" s="9"/>
      <c r="AN59" s="10"/>
      <c r="AO59" s="11"/>
      <c r="AP59" s="12"/>
      <c r="AQ59" s="13"/>
      <c r="AS59" s="6"/>
      <c r="AT59" s="7"/>
      <c r="AU59" s="8"/>
      <c r="AV59" s="9"/>
      <c r="AX59" s="10"/>
      <c r="AY59" s="11"/>
      <c r="AZ59" s="12"/>
      <c r="BA59" s="13"/>
      <c r="BC59" s="6"/>
      <c r="BD59" s="7"/>
      <c r="BE59" s="8"/>
      <c r="BF59" s="9"/>
      <c r="BG59" s="4"/>
      <c r="BH59" s="46">
        <f t="shared" si="0"/>
        <v>0</v>
      </c>
      <c r="BI59" s="47">
        <f t="shared" si="1"/>
        <v>0</v>
      </c>
    </row>
    <row r="60" spans="1:61" x14ac:dyDescent="0.25">
      <c r="A60" s="44" t="s">
        <v>224</v>
      </c>
      <c r="B60" s="44" t="s">
        <v>53</v>
      </c>
      <c r="C60" s="44" t="s">
        <v>49</v>
      </c>
      <c r="D60" t="s">
        <v>54</v>
      </c>
      <c r="E60" s="6"/>
      <c r="F60" s="7"/>
      <c r="G60" s="8"/>
      <c r="H60" s="9"/>
      <c r="J60" s="10"/>
      <c r="K60" s="11"/>
      <c r="L60" s="12"/>
      <c r="M60" s="13"/>
      <c r="O60" s="6"/>
      <c r="P60" s="7"/>
      <c r="Q60" s="8"/>
      <c r="R60" s="9"/>
      <c r="T60" s="10"/>
      <c r="U60" s="11"/>
      <c r="V60" s="12"/>
      <c r="W60" s="13"/>
      <c r="Y60" s="6"/>
      <c r="Z60" s="7"/>
      <c r="AA60" s="8"/>
      <c r="AB60" s="9"/>
      <c r="AD60" s="10"/>
      <c r="AE60" s="11"/>
      <c r="AF60" s="12"/>
      <c r="AG60" s="13"/>
      <c r="AI60" s="6"/>
      <c r="AJ60" s="7"/>
      <c r="AK60" s="8"/>
      <c r="AL60" s="9"/>
      <c r="AN60" s="10"/>
      <c r="AO60" s="11"/>
      <c r="AP60" s="12"/>
      <c r="AQ60" s="13"/>
      <c r="AS60" s="6"/>
      <c r="AT60" s="7"/>
      <c r="AU60" s="8"/>
      <c r="AV60" s="9"/>
      <c r="AX60" s="10"/>
      <c r="AY60" s="11"/>
      <c r="AZ60" s="12"/>
      <c r="BA60" s="13"/>
      <c r="BC60" s="6"/>
      <c r="BD60" s="7"/>
      <c r="BE60" s="8"/>
      <c r="BF60" s="9"/>
      <c r="BG60" s="4"/>
      <c r="BH60" s="46">
        <f t="shared" si="0"/>
        <v>0</v>
      </c>
      <c r="BI60" s="47">
        <f t="shared" si="1"/>
        <v>0</v>
      </c>
    </row>
    <row r="61" spans="1:61" x14ac:dyDescent="0.25">
      <c r="A61" s="44" t="s">
        <v>223</v>
      </c>
      <c r="B61" s="44" t="s">
        <v>53</v>
      </c>
      <c r="C61" s="44" t="s">
        <v>49</v>
      </c>
      <c r="D61" t="s">
        <v>54</v>
      </c>
      <c r="E61" s="6"/>
      <c r="F61" s="7"/>
      <c r="G61" s="8"/>
      <c r="H61" s="9"/>
      <c r="J61" s="10"/>
      <c r="K61" s="11"/>
      <c r="L61" s="12"/>
      <c r="M61" s="13"/>
      <c r="O61" s="6"/>
      <c r="P61" s="7"/>
      <c r="Q61" s="8"/>
      <c r="R61" s="9"/>
      <c r="T61" s="10"/>
      <c r="U61" s="11"/>
      <c r="V61" s="12"/>
      <c r="W61" s="13"/>
      <c r="Y61" s="6"/>
      <c r="Z61" s="7"/>
      <c r="AA61" s="8"/>
      <c r="AB61" s="9"/>
      <c r="AD61" s="10"/>
      <c r="AE61" s="11"/>
      <c r="AF61" s="12"/>
      <c r="AG61" s="13"/>
      <c r="AI61" s="6"/>
      <c r="AJ61" s="7"/>
      <c r="AK61" s="8"/>
      <c r="AL61" s="9"/>
      <c r="AN61" s="10"/>
      <c r="AO61" s="11"/>
      <c r="AP61" s="12"/>
      <c r="AQ61" s="13"/>
      <c r="AS61" s="6"/>
      <c r="AT61" s="7"/>
      <c r="AU61" s="8"/>
      <c r="AV61" s="9"/>
      <c r="AX61" s="10"/>
      <c r="AY61" s="11"/>
      <c r="AZ61" s="12"/>
      <c r="BA61" s="13"/>
      <c r="BC61" s="6"/>
      <c r="BD61" s="7"/>
      <c r="BE61" s="8"/>
      <c r="BF61" s="9"/>
      <c r="BG61" s="4"/>
      <c r="BH61" s="46">
        <f t="shared" si="0"/>
        <v>0</v>
      </c>
      <c r="BI61" s="47">
        <f t="shared" si="1"/>
        <v>0</v>
      </c>
    </row>
    <row r="62" spans="1:61" x14ac:dyDescent="0.25">
      <c r="A62" s="44" t="s">
        <v>222</v>
      </c>
      <c r="B62" s="44" t="s">
        <v>53</v>
      </c>
      <c r="C62" s="44" t="s">
        <v>49</v>
      </c>
      <c r="D62" t="s">
        <v>54</v>
      </c>
      <c r="E62" s="6"/>
      <c r="F62" s="7"/>
      <c r="G62" s="8"/>
      <c r="H62" s="9"/>
      <c r="J62" s="10"/>
      <c r="K62" s="11"/>
      <c r="L62" s="12"/>
      <c r="M62" s="13"/>
      <c r="O62" s="6"/>
      <c r="P62" s="7"/>
      <c r="Q62" s="8"/>
      <c r="R62" s="9"/>
      <c r="T62" s="10"/>
      <c r="U62" s="11"/>
      <c r="V62" s="12"/>
      <c r="W62" s="13"/>
      <c r="Y62" s="6"/>
      <c r="Z62" s="7"/>
      <c r="AA62" s="8"/>
      <c r="AB62" s="9"/>
      <c r="AD62" s="10"/>
      <c r="AE62" s="11"/>
      <c r="AF62" s="12"/>
      <c r="AG62" s="13"/>
      <c r="AI62" s="6"/>
      <c r="AJ62" s="7"/>
      <c r="AK62" s="8"/>
      <c r="AL62" s="9"/>
      <c r="AN62" s="10"/>
      <c r="AO62" s="11"/>
      <c r="AP62" s="12"/>
      <c r="AQ62" s="13"/>
      <c r="AS62" s="6"/>
      <c r="AT62" s="7"/>
      <c r="AU62" s="8"/>
      <c r="AV62" s="9"/>
      <c r="AX62" s="10"/>
      <c r="AY62" s="11"/>
      <c r="AZ62" s="12"/>
      <c r="BA62" s="13"/>
      <c r="BC62" s="6"/>
      <c r="BD62" s="7"/>
      <c r="BE62" s="8"/>
      <c r="BF62" s="9"/>
      <c r="BG62" s="4"/>
      <c r="BH62" s="46">
        <f t="shared" si="0"/>
        <v>0</v>
      </c>
      <c r="BI62" s="47">
        <f t="shared" si="1"/>
        <v>0</v>
      </c>
    </row>
    <row r="63" spans="1:61" x14ac:dyDescent="0.25">
      <c r="A63" s="44" t="s">
        <v>221</v>
      </c>
      <c r="B63" s="44" t="s">
        <v>53</v>
      </c>
      <c r="C63" s="44" t="s">
        <v>49</v>
      </c>
      <c r="D63" t="s">
        <v>54</v>
      </c>
      <c r="E63" s="6"/>
      <c r="F63" s="7"/>
      <c r="G63" s="8"/>
      <c r="H63" s="9"/>
      <c r="J63" s="10"/>
      <c r="K63" s="11"/>
      <c r="L63" s="12"/>
      <c r="M63" s="13"/>
      <c r="O63" s="6"/>
      <c r="P63" s="7"/>
      <c r="Q63" s="8"/>
      <c r="R63" s="9"/>
      <c r="T63" s="10"/>
      <c r="U63" s="11"/>
      <c r="V63" s="12"/>
      <c r="W63" s="13"/>
      <c r="Y63" s="6"/>
      <c r="Z63" s="7"/>
      <c r="AA63" s="8"/>
      <c r="AB63" s="9"/>
      <c r="AD63" s="10"/>
      <c r="AE63" s="11"/>
      <c r="AF63" s="12"/>
      <c r="AG63" s="13"/>
      <c r="AI63" s="6"/>
      <c r="AJ63" s="7"/>
      <c r="AK63" s="8"/>
      <c r="AL63" s="9"/>
      <c r="AN63" s="10"/>
      <c r="AO63" s="11"/>
      <c r="AP63" s="12"/>
      <c r="AQ63" s="13"/>
      <c r="AS63" s="6"/>
      <c r="AT63" s="7"/>
      <c r="AU63" s="8"/>
      <c r="AV63" s="9"/>
      <c r="AX63" s="10"/>
      <c r="AY63" s="11"/>
      <c r="AZ63" s="12"/>
      <c r="BA63" s="13"/>
      <c r="BC63" s="6"/>
      <c r="BD63" s="7"/>
      <c r="BE63" s="8"/>
      <c r="BF63" s="9"/>
      <c r="BG63" s="4"/>
      <c r="BH63" s="46">
        <f t="shared" si="0"/>
        <v>0</v>
      </c>
      <c r="BI63" s="47">
        <f t="shared" si="1"/>
        <v>0</v>
      </c>
    </row>
    <row r="64" spans="1:61" x14ac:dyDescent="0.25">
      <c r="A64" s="44" t="s">
        <v>220</v>
      </c>
      <c r="B64" s="45">
        <v>3</v>
      </c>
      <c r="C64" s="44" t="s">
        <v>49</v>
      </c>
      <c r="D64" t="s">
        <v>56</v>
      </c>
      <c r="E64" s="6"/>
      <c r="F64" s="7"/>
      <c r="G64" s="8"/>
      <c r="H64" s="9"/>
      <c r="J64" s="10"/>
      <c r="K64" s="11"/>
      <c r="L64" s="12"/>
      <c r="M64" s="13"/>
      <c r="O64" s="6"/>
      <c r="P64" s="7"/>
      <c r="Q64" s="8"/>
      <c r="R64" s="9"/>
      <c r="T64" s="10"/>
      <c r="U64" s="11"/>
      <c r="V64" s="12"/>
      <c r="W64" s="13"/>
      <c r="Y64" s="6"/>
      <c r="Z64" s="7"/>
      <c r="AA64" s="8"/>
      <c r="AB64" s="9"/>
      <c r="AD64" s="10"/>
      <c r="AE64" s="11"/>
      <c r="AF64" s="12"/>
      <c r="AG64" s="13"/>
      <c r="AI64" s="6"/>
      <c r="AJ64" s="7"/>
      <c r="AK64" s="8"/>
      <c r="AL64" s="9"/>
      <c r="AN64" s="10"/>
      <c r="AO64" s="11"/>
      <c r="AP64" s="12"/>
      <c r="AQ64" s="13"/>
      <c r="AS64" s="6"/>
      <c r="AT64" s="7"/>
      <c r="AU64" s="8"/>
      <c r="AV64" s="9"/>
      <c r="AX64" s="10"/>
      <c r="AY64" s="11"/>
      <c r="AZ64" s="12"/>
      <c r="BA64" s="13"/>
      <c r="BC64" s="6"/>
      <c r="BD64" s="7"/>
      <c r="BE64" s="8"/>
      <c r="BF64" s="9"/>
      <c r="BG64" s="4"/>
      <c r="BH64" s="46">
        <f t="shared" si="0"/>
        <v>0</v>
      </c>
      <c r="BI64" s="47">
        <f t="shared" si="1"/>
        <v>0</v>
      </c>
    </row>
    <row r="65" spans="1:61" x14ac:dyDescent="0.25">
      <c r="A65" s="44" t="s">
        <v>334</v>
      </c>
      <c r="B65" s="45" t="s">
        <v>335</v>
      </c>
      <c r="C65" s="44" t="s">
        <v>49</v>
      </c>
      <c r="E65" s="6"/>
      <c r="F65" s="7"/>
      <c r="G65" s="8"/>
      <c r="H65" s="9"/>
      <c r="J65" s="10"/>
      <c r="K65" s="11"/>
      <c r="L65" s="12"/>
      <c r="M65" s="13"/>
      <c r="O65" s="6"/>
      <c r="P65" s="7"/>
      <c r="Q65" s="8"/>
      <c r="R65" s="9"/>
      <c r="T65" s="10"/>
      <c r="U65" s="11"/>
      <c r="V65" s="12"/>
      <c r="W65" s="13"/>
      <c r="Y65" s="6"/>
      <c r="Z65" s="7"/>
      <c r="AA65" s="8"/>
      <c r="AB65" s="9"/>
      <c r="AD65" s="10"/>
      <c r="AE65" s="11"/>
      <c r="AF65" s="12"/>
      <c r="AG65" s="13"/>
      <c r="AI65" s="6"/>
      <c r="AJ65" s="7"/>
      <c r="AK65" s="8"/>
      <c r="AL65" s="9"/>
      <c r="AN65" s="10"/>
      <c r="AO65" s="11"/>
      <c r="AP65" s="12"/>
      <c r="AQ65" s="13"/>
      <c r="AS65" s="6"/>
      <c r="AT65" s="7"/>
      <c r="AU65" s="8"/>
      <c r="AV65" s="9"/>
      <c r="AX65" s="10"/>
      <c r="AY65" s="11"/>
      <c r="AZ65" s="12"/>
      <c r="BA65" s="13"/>
      <c r="BC65" s="6"/>
      <c r="BD65" s="7"/>
      <c r="BE65" s="8"/>
      <c r="BF65" s="9"/>
      <c r="BG65" s="4"/>
      <c r="BH65" s="46">
        <f t="shared" si="0"/>
        <v>0</v>
      </c>
      <c r="BI65" s="47">
        <f t="shared" si="1"/>
        <v>0</v>
      </c>
    </row>
    <row r="66" spans="1:61" x14ac:dyDescent="0.25">
      <c r="E66" s="6"/>
      <c r="F66" s="7"/>
      <c r="G66" s="8"/>
      <c r="H66" s="9"/>
      <c r="J66" s="10"/>
      <c r="K66" s="11"/>
      <c r="L66" s="12"/>
      <c r="M66" s="13"/>
      <c r="O66" s="6"/>
      <c r="P66" s="7"/>
      <c r="Q66" s="8"/>
      <c r="R66" s="9"/>
      <c r="T66" s="10"/>
      <c r="U66" s="11"/>
      <c r="V66" s="12"/>
      <c r="W66" s="13"/>
      <c r="Y66" s="6"/>
      <c r="Z66" s="7"/>
      <c r="AA66" s="8"/>
      <c r="AB66" s="9"/>
      <c r="AD66" s="10"/>
      <c r="AE66" s="11"/>
      <c r="AF66" s="12"/>
      <c r="AG66" s="13"/>
      <c r="AI66" s="6"/>
      <c r="AJ66" s="7"/>
      <c r="AK66" s="8"/>
      <c r="AL66" s="9"/>
      <c r="AN66" s="10"/>
      <c r="AO66" s="11"/>
      <c r="AP66" s="12"/>
      <c r="AQ66" s="13"/>
      <c r="AS66" s="6"/>
      <c r="AT66" s="7"/>
      <c r="AU66" s="8"/>
      <c r="AV66" s="9"/>
      <c r="AX66" s="10"/>
      <c r="AY66" s="11"/>
      <c r="AZ66" s="12"/>
      <c r="BA66" s="13"/>
      <c r="BC66" s="6"/>
      <c r="BD66" s="7"/>
      <c r="BE66" s="8"/>
      <c r="BF66" s="9"/>
      <c r="BG66" s="4"/>
      <c r="BH66" s="46">
        <f t="shared" si="0"/>
        <v>0</v>
      </c>
      <c r="BI66" s="47">
        <f t="shared" si="1"/>
        <v>0</v>
      </c>
    </row>
    <row r="67" spans="1:61" x14ac:dyDescent="0.25">
      <c r="A67" s="42" t="s">
        <v>219</v>
      </c>
      <c r="B67" s="43">
        <v>1</v>
      </c>
      <c r="C67" s="42" t="s">
        <v>64</v>
      </c>
      <c r="D67" t="s">
        <v>52</v>
      </c>
      <c r="E67" s="6"/>
      <c r="F67" s="7"/>
      <c r="G67" s="8"/>
      <c r="H67" s="9"/>
      <c r="J67" s="10"/>
      <c r="K67" s="11"/>
      <c r="L67" s="12"/>
      <c r="M67" s="13"/>
      <c r="O67" s="6"/>
      <c r="P67" s="7"/>
      <c r="Q67" s="8"/>
      <c r="R67" s="9"/>
      <c r="T67" s="10"/>
      <c r="U67" s="11"/>
      <c r="V67" s="12"/>
      <c r="W67" s="13"/>
      <c r="Y67" s="6"/>
      <c r="Z67" s="7"/>
      <c r="AA67" s="8"/>
      <c r="AB67" s="9"/>
      <c r="AD67" s="10"/>
      <c r="AE67" s="11"/>
      <c r="AF67" s="12"/>
      <c r="AG67" s="13"/>
      <c r="AI67" s="6"/>
      <c r="AJ67" s="7"/>
      <c r="AK67" s="8"/>
      <c r="AL67" s="9"/>
      <c r="AN67" s="10"/>
      <c r="AO67" s="11"/>
      <c r="AP67" s="12"/>
      <c r="AQ67" s="13"/>
      <c r="AS67" s="6"/>
      <c r="AT67" s="7"/>
      <c r="AU67" s="8"/>
      <c r="AV67" s="9"/>
      <c r="AX67" s="10"/>
      <c r="AY67" s="11"/>
      <c r="AZ67" s="12"/>
      <c r="BA67" s="13"/>
      <c r="BC67" s="6"/>
      <c r="BD67" s="7"/>
      <c r="BE67" s="8"/>
      <c r="BF67" s="9"/>
      <c r="BG67" s="4"/>
      <c r="BH67" s="46">
        <f t="shared" si="0"/>
        <v>0</v>
      </c>
      <c r="BI67" s="47">
        <f t="shared" si="1"/>
        <v>0</v>
      </c>
    </row>
    <row r="68" spans="1:61" x14ac:dyDescent="0.25">
      <c r="A68" s="42" t="s">
        <v>218</v>
      </c>
      <c r="B68" s="43">
        <v>1</v>
      </c>
      <c r="C68" s="42" t="s">
        <v>64</v>
      </c>
      <c r="D68" t="s">
        <v>52</v>
      </c>
      <c r="E68" s="6"/>
      <c r="F68" s="7"/>
      <c r="G68" s="8"/>
      <c r="H68" s="9"/>
      <c r="J68" s="10"/>
      <c r="K68" s="11"/>
      <c r="L68" s="12"/>
      <c r="M68" s="13"/>
      <c r="O68" s="6"/>
      <c r="P68" s="7"/>
      <c r="Q68" s="8"/>
      <c r="R68" s="9"/>
      <c r="T68" s="10"/>
      <c r="U68" s="11"/>
      <c r="V68" s="12"/>
      <c r="W68" s="13"/>
      <c r="Y68" s="6"/>
      <c r="Z68" s="7"/>
      <c r="AA68" s="8"/>
      <c r="AB68" s="9"/>
      <c r="AD68" s="10"/>
      <c r="AE68" s="11"/>
      <c r="AF68" s="12"/>
      <c r="AG68" s="13"/>
      <c r="AI68" s="6"/>
      <c r="AJ68" s="7"/>
      <c r="AK68" s="8"/>
      <c r="AL68" s="9"/>
      <c r="AN68" s="10"/>
      <c r="AO68" s="11"/>
      <c r="AP68" s="12"/>
      <c r="AQ68" s="13"/>
      <c r="AS68" s="6"/>
      <c r="AT68" s="7"/>
      <c r="AU68" s="8"/>
      <c r="AV68" s="9"/>
      <c r="AX68" s="10"/>
      <c r="AY68" s="11"/>
      <c r="AZ68" s="12"/>
      <c r="BA68" s="13"/>
      <c r="BC68" s="6"/>
      <c r="BD68" s="7"/>
      <c r="BE68" s="8"/>
      <c r="BF68" s="9"/>
      <c r="BG68" s="4"/>
      <c r="BH68" s="46">
        <f t="shared" si="0"/>
        <v>0</v>
      </c>
      <c r="BI68" s="47">
        <f t="shared" si="1"/>
        <v>0</v>
      </c>
    </row>
    <row r="69" spans="1:61" x14ac:dyDescent="0.25">
      <c r="A69" s="42" t="s">
        <v>329</v>
      </c>
      <c r="B69" s="43">
        <v>1</v>
      </c>
      <c r="C69" s="42" t="s">
        <v>64</v>
      </c>
      <c r="D69" t="s">
        <v>52</v>
      </c>
      <c r="E69" s="6"/>
      <c r="F69" s="7"/>
      <c r="G69" s="8"/>
      <c r="H69" s="9"/>
      <c r="J69" s="10"/>
      <c r="K69" s="11"/>
      <c r="L69" s="12"/>
      <c r="M69" s="13"/>
      <c r="O69" s="6"/>
      <c r="P69" s="7"/>
      <c r="Q69" s="8"/>
      <c r="R69" s="9"/>
      <c r="T69" s="10"/>
      <c r="U69" s="11"/>
      <c r="V69" s="12"/>
      <c r="W69" s="13"/>
      <c r="Y69" s="6"/>
      <c r="Z69" s="7"/>
      <c r="AA69" s="8"/>
      <c r="AB69" s="9"/>
      <c r="AD69" s="10"/>
      <c r="AE69" s="11"/>
      <c r="AF69" s="12"/>
      <c r="AG69" s="13"/>
      <c r="AI69" s="6"/>
      <c r="AJ69" s="7"/>
      <c r="AK69" s="8"/>
      <c r="AL69" s="9"/>
      <c r="AN69" s="10"/>
      <c r="AO69" s="11"/>
      <c r="AP69" s="12"/>
      <c r="AQ69" s="13"/>
      <c r="AS69" s="6"/>
      <c r="AT69" s="7"/>
      <c r="AU69" s="8"/>
      <c r="AV69" s="9"/>
      <c r="AX69" s="10"/>
      <c r="AY69" s="11"/>
      <c r="AZ69" s="12"/>
      <c r="BA69" s="13"/>
      <c r="BC69" s="6"/>
      <c r="BD69" s="7"/>
      <c r="BE69" s="8"/>
      <c r="BF69" s="9"/>
      <c r="BG69" s="4"/>
      <c r="BH69" s="46">
        <f t="shared" si="0"/>
        <v>0</v>
      </c>
      <c r="BI69" s="47">
        <f t="shared" si="1"/>
        <v>0</v>
      </c>
    </row>
    <row r="70" spans="1:61" x14ac:dyDescent="0.25">
      <c r="A70" s="42" t="s">
        <v>217</v>
      </c>
      <c r="B70" s="43">
        <v>2</v>
      </c>
      <c r="C70" s="42" t="s">
        <v>64</v>
      </c>
      <c r="D70" t="s">
        <v>52</v>
      </c>
      <c r="E70" s="6"/>
      <c r="F70" s="7"/>
      <c r="G70" s="8"/>
      <c r="H70" s="9"/>
      <c r="J70" s="10"/>
      <c r="K70" s="11"/>
      <c r="L70" s="12"/>
      <c r="M70" s="13"/>
      <c r="O70" s="6"/>
      <c r="P70" s="7"/>
      <c r="Q70" s="8"/>
      <c r="R70" s="9"/>
      <c r="T70" s="10"/>
      <c r="U70" s="11"/>
      <c r="V70" s="12"/>
      <c r="W70" s="13"/>
      <c r="Y70" s="6"/>
      <c r="Z70" s="7"/>
      <c r="AA70" s="8"/>
      <c r="AB70" s="9"/>
      <c r="AD70" s="10"/>
      <c r="AE70" s="11"/>
      <c r="AF70" s="12"/>
      <c r="AG70" s="13"/>
      <c r="AI70" s="6"/>
      <c r="AJ70" s="7"/>
      <c r="AK70" s="8"/>
      <c r="AL70" s="9"/>
      <c r="AN70" s="10"/>
      <c r="AO70" s="11"/>
      <c r="AP70" s="12"/>
      <c r="AQ70" s="13"/>
      <c r="AS70" s="6"/>
      <c r="AT70" s="7"/>
      <c r="AU70" s="8"/>
      <c r="AV70" s="9"/>
      <c r="AX70" s="10"/>
      <c r="AY70" s="11"/>
      <c r="AZ70" s="12"/>
      <c r="BA70" s="13"/>
      <c r="BC70" s="6"/>
      <c r="BD70" s="7"/>
      <c r="BE70" s="8"/>
      <c r="BF70" s="9"/>
      <c r="BG70" s="4"/>
      <c r="BH70" s="46">
        <f t="shared" ref="BH70:BH133" si="2">SUM(E70:BF70)</f>
        <v>0</v>
      </c>
      <c r="BI70" s="47">
        <f t="shared" ref="BI70:BI133" si="3">(SUM(E70:BG70)*$D$2)</f>
        <v>0</v>
      </c>
    </row>
    <row r="71" spans="1:61" x14ac:dyDescent="0.25">
      <c r="A71" s="42" t="s">
        <v>216</v>
      </c>
      <c r="B71" s="43">
        <v>2</v>
      </c>
      <c r="C71" s="42" t="s">
        <v>64</v>
      </c>
      <c r="D71" t="s">
        <v>52</v>
      </c>
      <c r="E71" s="6"/>
      <c r="F71" s="7"/>
      <c r="G71" s="8"/>
      <c r="H71" s="9"/>
      <c r="J71" s="10"/>
      <c r="K71" s="11"/>
      <c r="L71" s="12"/>
      <c r="M71" s="13"/>
      <c r="O71" s="6"/>
      <c r="P71" s="7"/>
      <c r="Q71" s="8"/>
      <c r="R71" s="9"/>
      <c r="T71" s="10"/>
      <c r="U71" s="11"/>
      <c r="V71" s="12"/>
      <c r="W71" s="13"/>
      <c r="Y71" s="6"/>
      <c r="Z71" s="7"/>
      <c r="AA71" s="8"/>
      <c r="AB71" s="9"/>
      <c r="AD71" s="10"/>
      <c r="AE71" s="11"/>
      <c r="AF71" s="12"/>
      <c r="AG71" s="13"/>
      <c r="AI71" s="6"/>
      <c r="AJ71" s="7"/>
      <c r="AK71" s="8"/>
      <c r="AL71" s="9"/>
      <c r="AN71" s="10"/>
      <c r="AO71" s="11"/>
      <c r="AP71" s="12"/>
      <c r="AQ71" s="13"/>
      <c r="AS71" s="6"/>
      <c r="AT71" s="7"/>
      <c r="AU71" s="8"/>
      <c r="AV71" s="9"/>
      <c r="AX71" s="10"/>
      <c r="AY71" s="11"/>
      <c r="AZ71" s="12"/>
      <c r="BA71" s="13"/>
      <c r="BC71" s="6"/>
      <c r="BD71" s="7"/>
      <c r="BE71" s="8"/>
      <c r="BF71" s="9"/>
      <c r="BG71" s="4"/>
      <c r="BH71" s="46">
        <f t="shared" si="2"/>
        <v>0</v>
      </c>
      <c r="BI71" s="47">
        <f t="shared" si="3"/>
        <v>0</v>
      </c>
    </row>
    <row r="72" spans="1:61" x14ac:dyDescent="0.25">
      <c r="A72" s="42" t="s">
        <v>215</v>
      </c>
      <c r="B72" s="43">
        <v>2</v>
      </c>
      <c r="C72" s="42" t="s">
        <v>64</v>
      </c>
      <c r="D72" t="s">
        <v>52</v>
      </c>
      <c r="E72" s="6"/>
      <c r="F72" s="7"/>
      <c r="G72" s="8"/>
      <c r="H72" s="9"/>
      <c r="J72" s="10"/>
      <c r="K72" s="11"/>
      <c r="L72" s="12"/>
      <c r="M72" s="13"/>
      <c r="O72" s="6"/>
      <c r="P72" s="7"/>
      <c r="Q72" s="8"/>
      <c r="R72" s="9"/>
      <c r="T72" s="10"/>
      <c r="U72" s="11"/>
      <c r="V72" s="12"/>
      <c r="W72" s="13"/>
      <c r="Y72" s="6"/>
      <c r="Z72" s="7"/>
      <c r="AA72" s="8"/>
      <c r="AB72" s="9"/>
      <c r="AD72" s="10"/>
      <c r="AE72" s="11"/>
      <c r="AF72" s="12"/>
      <c r="AG72" s="13"/>
      <c r="AI72" s="6"/>
      <c r="AJ72" s="7"/>
      <c r="AK72" s="8"/>
      <c r="AL72" s="9"/>
      <c r="AN72" s="10"/>
      <c r="AO72" s="11"/>
      <c r="AP72" s="12"/>
      <c r="AQ72" s="13"/>
      <c r="AS72" s="6"/>
      <c r="AT72" s="7"/>
      <c r="AU72" s="8"/>
      <c r="AV72" s="9"/>
      <c r="AX72" s="10"/>
      <c r="AY72" s="11"/>
      <c r="AZ72" s="12"/>
      <c r="BA72" s="13"/>
      <c r="BC72" s="6"/>
      <c r="BD72" s="7"/>
      <c r="BE72" s="8"/>
      <c r="BF72" s="9"/>
      <c r="BG72" s="4"/>
      <c r="BH72" s="46">
        <f t="shared" si="2"/>
        <v>0</v>
      </c>
      <c r="BI72" s="47">
        <f t="shared" si="3"/>
        <v>0</v>
      </c>
    </row>
    <row r="73" spans="1:61" x14ac:dyDescent="0.25">
      <c r="A73" s="42" t="s">
        <v>214</v>
      </c>
      <c r="B73" s="43">
        <v>2</v>
      </c>
      <c r="C73" s="42" t="s">
        <v>64</v>
      </c>
      <c r="D73" t="s">
        <v>52</v>
      </c>
      <c r="E73" s="6"/>
      <c r="F73" s="7"/>
      <c r="G73" s="8"/>
      <c r="H73" s="9"/>
      <c r="J73" s="10"/>
      <c r="K73" s="11"/>
      <c r="L73" s="12"/>
      <c r="M73" s="13"/>
      <c r="O73" s="6"/>
      <c r="P73" s="7"/>
      <c r="Q73" s="8"/>
      <c r="R73" s="9"/>
      <c r="T73" s="10"/>
      <c r="U73" s="11"/>
      <c r="V73" s="12"/>
      <c r="W73" s="13"/>
      <c r="Y73" s="6"/>
      <c r="Z73" s="7"/>
      <c r="AA73" s="8"/>
      <c r="AB73" s="9"/>
      <c r="AD73" s="10"/>
      <c r="AE73" s="11"/>
      <c r="AF73" s="12"/>
      <c r="AG73" s="13"/>
      <c r="AI73" s="6"/>
      <c r="AJ73" s="7"/>
      <c r="AK73" s="8"/>
      <c r="AL73" s="9"/>
      <c r="AN73" s="10"/>
      <c r="AO73" s="11"/>
      <c r="AP73" s="12"/>
      <c r="AQ73" s="13"/>
      <c r="AS73" s="6"/>
      <c r="AT73" s="7"/>
      <c r="AU73" s="8"/>
      <c r="AV73" s="9"/>
      <c r="AX73" s="10"/>
      <c r="AY73" s="11"/>
      <c r="AZ73" s="12"/>
      <c r="BA73" s="13"/>
      <c r="BC73" s="6"/>
      <c r="BD73" s="7"/>
      <c r="BE73" s="8"/>
      <c r="BF73" s="9"/>
      <c r="BG73" s="4"/>
      <c r="BH73" s="46">
        <f t="shared" si="2"/>
        <v>0</v>
      </c>
      <c r="BI73" s="47">
        <f t="shared" si="3"/>
        <v>0</v>
      </c>
    </row>
    <row r="74" spans="1:61" x14ac:dyDescent="0.25">
      <c r="A74" s="42" t="s">
        <v>213</v>
      </c>
      <c r="B74" s="43">
        <v>2</v>
      </c>
      <c r="C74" s="42" t="s">
        <v>64</v>
      </c>
      <c r="D74" t="s">
        <v>52</v>
      </c>
      <c r="E74" s="6"/>
      <c r="F74" s="7"/>
      <c r="G74" s="8"/>
      <c r="H74" s="9"/>
      <c r="J74" s="10"/>
      <c r="K74" s="11"/>
      <c r="L74" s="12"/>
      <c r="M74" s="13"/>
      <c r="O74" s="6"/>
      <c r="P74" s="7"/>
      <c r="Q74" s="8"/>
      <c r="R74" s="9"/>
      <c r="T74" s="10"/>
      <c r="U74" s="11"/>
      <c r="V74" s="12"/>
      <c r="W74" s="13"/>
      <c r="Y74" s="6"/>
      <c r="Z74" s="7"/>
      <c r="AA74" s="8"/>
      <c r="AB74" s="9"/>
      <c r="AD74" s="10"/>
      <c r="AE74" s="11"/>
      <c r="AF74" s="12"/>
      <c r="AG74" s="13"/>
      <c r="AI74" s="6"/>
      <c r="AJ74" s="7"/>
      <c r="AK74" s="8"/>
      <c r="AL74" s="9"/>
      <c r="AN74" s="10"/>
      <c r="AO74" s="11"/>
      <c r="AP74" s="12"/>
      <c r="AQ74" s="13"/>
      <c r="AS74" s="6"/>
      <c r="AT74" s="7"/>
      <c r="AU74" s="8"/>
      <c r="AV74" s="9"/>
      <c r="AX74" s="10"/>
      <c r="AY74" s="11"/>
      <c r="AZ74" s="12"/>
      <c r="BA74" s="13"/>
      <c r="BC74" s="6"/>
      <c r="BD74" s="7"/>
      <c r="BE74" s="8"/>
      <c r="BF74" s="9"/>
      <c r="BG74" s="4"/>
      <c r="BH74" s="46">
        <f t="shared" si="2"/>
        <v>0</v>
      </c>
      <c r="BI74" s="47">
        <f t="shared" si="3"/>
        <v>0</v>
      </c>
    </row>
    <row r="75" spans="1:61" x14ac:dyDescent="0.25">
      <c r="A75" s="42" t="s">
        <v>212</v>
      </c>
      <c r="B75" s="43">
        <v>2</v>
      </c>
      <c r="C75" s="42" t="s">
        <v>64</v>
      </c>
      <c r="D75" t="s">
        <v>52</v>
      </c>
      <c r="E75" s="6"/>
      <c r="F75" s="7"/>
      <c r="G75" s="8"/>
      <c r="H75" s="9"/>
      <c r="J75" s="10"/>
      <c r="K75" s="11"/>
      <c r="L75" s="12"/>
      <c r="M75" s="13"/>
      <c r="O75" s="6"/>
      <c r="P75" s="7"/>
      <c r="Q75" s="8"/>
      <c r="R75" s="9"/>
      <c r="T75" s="10"/>
      <c r="U75" s="11"/>
      <c r="V75" s="12"/>
      <c r="W75" s="13"/>
      <c r="Y75" s="6"/>
      <c r="Z75" s="7"/>
      <c r="AA75" s="8"/>
      <c r="AB75" s="9"/>
      <c r="AD75" s="10"/>
      <c r="AE75" s="11"/>
      <c r="AF75" s="12"/>
      <c r="AG75" s="13"/>
      <c r="AI75" s="6"/>
      <c r="AJ75" s="7"/>
      <c r="AK75" s="8"/>
      <c r="AL75" s="9"/>
      <c r="AN75" s="10"/>
      <c r="AO75" s="11"/>
      <c r="AP75" s="12"/>
      <c r="AQ75" s="13"/>
      <c r="AS75" s="6"/>
      <c r="AT75" s="7"/>
      <c r="AU75" s="8"/>
      <c r="AV75" s="9"/>
      <c r="AX75" s="10"/>
      <c r="AY75" s="11"/>
      <c r="AZ75" s="12"/>
      <c r="BA75" s="13"/>
      <c r="BC75" s="6"/>
      <c r="BD75" s="7"/>
      <c r="BE75" s="8"/>
      <c r="BF75" s="9"/>
      <c r="BG75" s="4"/>
      <c r="BH75" s="46">
        <f t="shared" si="2"/>
        <v>0</v>
      </c>
      <c r="BI75" s="47">
        <f t="shared" si="3"/>
        <v>0</v>
      </c>
    </row>
    <row r="76" spans="1:61" x14ac:dyDescent="0.25">
      <c r="A76" s="42" t="s">
        <v>211</v>
      </c>
      <c r="B76" s="43">
        <v>10</v>
      </c>
      <c r="C76" s="42" t="s">
        <v>64</v>
      </c>
      <c r="D76" t="s">
        <v>59</v>
      </c>
      <c r="E76" s="6"/>
      <c r="F76" s="7"/>
      <c r="G76" s="8"/>
      <c r="H76" s="9"/>
      <c r="J76" s="10"/>
      <c r="K76" s="11"/>
      <c r="L76" s="12"/>
      <c r="M76" s="13"/>
      <c r="O76" s="6"/>
      <c r="P76" s="7"/>
      <c r="Q76" s="8"/>
      <c r="R76" s="9"/>
      <c r="T76" s="10"/>
      <c r="U76" s="11"/>
      <c r="V76" s="12"/>
      <c r="W76" s="13"/>
      <c r="Y76" s="6"/>
      <c r="Z76" s="7"/>
      <c r="AA76" s="8"/>
      <c r="AB76" s="9"/>
      <c r="AD76" s="10"/>
      <c r="AE76" s="11"/>
      <c r="AF76" s="12"/>
      <c r="AG76" s="13"/>
      <c r="AI76" s="6"/>
      <c r="AJ76" s="7"/>
      <c r="AK76" s="8"/>
      <c r="AL76" s="9"/>
      <c r="AN76" s="10"/>
      <c r="AO76" s="11"/>
      <c r="AP76" s="12"/>
      <c r="AQ76" s="13"/>
      <c r="AS76" s="6"/>
      <c r="AT76" s="7"/>
      <c r="AU76" s="8"/>
      <c r="AV76" s="9"/>
      <c r="AX76" s="10"/>
      <c r="AY76" s="11"/>
      <c r="AZ76" s="12"/>
      <c r="BA76" s="13"/>
      <c r="BC76" s="6"/>
      <c r="BD76" s="7"/>
      <c r="BE76" s="8"/>
      <c r="BF76" s="9"/>
      <c r="BG76" s="4"/>
      <c r="BH76" s="46">
        <f t="shared" si="2"/>
        <v>0</v>
      </c>
      <c r="BI76" s="47">
        <f t="shared" si="3"/>
        <v>0</v>
      </c>
    </row>
    <row r="77" spans="1:61" x14ac:dyDescent="0.25">
      <c r="A77" s="42" t="s">
        <v>210</v>
      </c>
      <c r="B77" s="43">
        <v>10</v>
      </c>
      <c r="C77" s="42" t="s">
        <v>64</v>
      </c>
      <c r="D77" t="s">
        <v>59</v>
      </c>
      <c r="E77" s="6"/>
      <c r="F77" s="7"/>
      <c r="G77" s="8"/>
      <c r="H77" s="9"/>
      <c r="J77" s="10"/>
      <c r="K77" s="11"/>
      <c r="L77" s="12"/>
      <c r="M77" s="13"/>
      <c r="O77" s="6"/>
      <c r="P77" s="7"/>
      <c r="Q77" s="8"/>
      <c r="R77" s="9"/>
      <c r="T77" s="10"/>
      <c r="U77" s="11"/>
      <c r="V77" s="12"/>
      <c r="W77" s="13"/>
      <c r="Y77" s="6"/>
      <c r="Z77" s="7"/>
      <c r="AA77" s="8"/>
      <c r="AB77" s="9"/>
      <c r="AD77" s="10"/>
      <c r="AE77" s="11"/>
      <c r="AF77" s="12"/>
      <c r="AG77" s="13"/>
      <c r="AI77" s="6"/>
      <c r="AJ77" s="7"/>
      <c r="AK77" s="8"/>
      <c r="AL77" s="9"/>
      <c r="AN77" s="10"/>
      <c r="AO77" s="11"/>
      <c r="AP77" s="12"/>
      <c r="AQ77" s="13"/>
      <c r="AS77" s="6"/>
      <c r="AT77" s="7"/>
      <c r="AU77" s="8"/>
      <c r="AV77" s="9"/>
      <c r="AX77" s="10"/>
      <c r="AY77" s="11"/>
      <c r="AZ77" s="12"/>
      <c r="BA77" s="13"/>
      <c r="BC77" s="6"/>
      <c r="BD77" s="7"/>
      <c r="BE77" s="8"/>
      <c r="BF77" s="9"/>
      <c r="BG77" s="4"/>
      <c r="BH77" s="46">
        <f t="shared" si="2"/>
        <v>0</v>
      </c>
      <c r="BI77" s="47">
        <f t="shared" si="3"/>
        <v>0</v>
      </c>
    </row>
    <row r="78" spans="1:61" x14ac:dyDescent="0.25">
      <c r="A78" s="42" t="s">
        <v>209</v>
      </c>
      <c r="B78" s="43">
        <v>10</v>
      </c>
      <c r="C78" s="42" t="s">
        <v>64</v>
      </c>
      <c r="D78" t="s">
        <v>59</v>
      </c>
      <c r="E78" s="6"/>
      <c r="F78" s="7"/>
      <c r="G78" s="8"/>
      <c r="H78" s="9"/>
      <c r="J78" s="10"/>
      <c r="K78" s="11"/>
      <c r="L78" s="12"/>
      <c r="M78" s="13"/>
      <c r="O78" s="6"/>
      <c r="P78" s="7"/>
      <c r="Q78" s="8"/>
      <c r="R78" s="9"/>
      <c r="T78" s="10"/>
      <c r="U78" s="11"/>
      <c r="V78" s="12"/>
      <c r="W78" s="13"/>
      <c r="Y78" s="6"/>
      <c r="Z78" s="7"/>
      <c r="AA78" s="8"/>
      <c r="AB78" s="9"/>
      <c r="AD78" s="10"/>
      <c r="AE78" s="11"/>
      <c r="AF78" s="12"/>
      <c r="AG78" s="13"/>
      <c r="AI78" s="6"/>
      <c r="AJ78" s="7"/>
      <c r="AK78" s="8"/>
      <c r="AL78" s="9"/>
      <c r="AN78" s="10"/>
      <c r="AO78" s="11"/>
      <c r="AP78" s="12"/>
      <c r="AQ78" s="13"/>
      <c r="AS78" s="6"/>
      <c r="AT78" s="7"/>
      <c r="AU78" s="8"/>
      <c r="AV78" s="9"/>
      <c r="AX78" s="10"/>
      <c r="AY78" s="11"/>
      <c r="AZ78" s="12"/>
      <c r="BA78" s="13"/>
      <c r="BC78" s="6"/>
      <c r="BD78" s="7"/>
      <c r="BE78" s="8"/>
      <c r="BF78" s="9"/>
      <c r="BG78" s="4"/>
      <c r="BH78" s="46">
        <f t="shared" si="2"/>
        <v>0</v>
      </c>
      <c r="BI78" s="47">
        <f t="shared" si="3"/>
        <v>0</v>
      </c>
    </row>
    <row r="79" spans="1:61" x14ac:dyDescent="0.25">
      <c r="A79" s="42" t="s">
        <v>208</v>
      </c>
      <c r="B79" s="43">
        <v>10</v>
      </c>
      <c r="C79" s="42" t="s">
        <v>64</v>
      </c>
      <c r="D79" t="s">
        <v>59</v>
      </c>
      <c r="E79" s="6"/>
      <c r="F79" s="7"/>
      <c r="G79" s="8"/>
      <c r="H79" s="9"/>
      <c r="J79" s="10"/>
      <c r="K79" s="11"/>
      <c r="L79" s="12"/>
      <c r="M79" s="13"/>
      <c r="O79" s="6"/>
      <c r="P79" s="7"/>
      <c r="Q79" s="8"/>
      <c r="R79" s="9"/>
      <c r="T79" s="10"/>
      <c r="U79" s="11"/>
      <c r="V79" s="12"/>
      <c r="W79" s="13"/>
      <c r="Y79" s="6"/>
      <c r="Z79" s="7"/>
      <c r="AA79" s="8"/>
      <c r="AB79" s="9"/>
      <c r="AD79" s="10"/>
      <c r="AE79" s="11"/>
      <c r="AF79" s="12"/>
      <c r="AG79" s="13"/>
      <c r="AI79" s="6"/>
      <c r="AJ79" s="7"/>
      <c r="AK79" s="8"/>
      <c r="AL79" s="9"/>
      <c r="AN79" s="10"/>
      <c r="AO79" s="11"/>
      <c r="AP79" s="12"/>
      <c r="AQ79" s="13"/>
      <c r="AS79" s="6"/>
      <c r="AT79" s="7"/>
      <c r="AU79" s="8"/>
      <c r="AV79" s="9"/>
      <c r="AX79" s="10"/>
      <c r="AY79" s="11"/>
      <c r="AZ79" s="12"/>
      <c r="BA79" s="13"/>
      <c r="BC79" s="6"/>
      <c r="BD79" s="7"/>
      <c r="BE79" s="8"/>
      <c r="BF79" s="9"/>
      <c r="BG79" s="4"/>
      <c r="BH79" s="46">
        <f t="shared" si="2"/>
        <v>0</v>
      </c>
      <c r="BI79" s="47">
        <f t="shared" si="3"/>
        <v>0</v>
      </c>
    </row>
    <row r="80" spans="1:61" x14ac:dyDescent="0.25">
      <c r="A80" s="42" t="s">
        <v>207</v>
      </c>
      <c r="B80" s="43">
        <v>3</v>
      </c>
      <c r="C80" s="42" t="s">
        <v>64</v>
      </c>
      <c r="D80" t="s">
        <v>56</v>
      </c>
      <c r="E80" s="6"/>
      <c r="F80" s="7"/>
      <c r="G80" s="8"/>
      <c r="H80" s="9"/>
      <c r="J80" s="10"/>
      <c r="K80" s="11"/>
      <c r="L80" s="12"/>
      <c r="M80" s="13"/>
      <c r="O80" s="6"/>
      <c r="P80" s="7"/>
      <c r="Q80" s="8"/>
      <c r="R80" s="9"/>
      <c r="T80" s="10"/>
      <c r="U80" s="11"/>
      <c r="V80" s="12"/>
      <c r="W80" s="13"/>
      <c r="Y80" s="6"/>
      <c r="Z80" s="7"/>
      <c r="AA80" s="8"/>
      <c r="AB80" s="9"/>
      <c r="AD80" s="10"/>
      <c r="AE80" s="11"/>
      <c r="AF80" s="12"/>
      <c r="AG80" s="13"/>
      <c r="AI80" s="6"/>
      <c r="AJ80" s="7"/>
      <c r="AK80" s="8"/>
      <c r="AL80" s="9"/>
      <c r="AN80" s="10"/>
      <c r="AO80" s="11"/>
      <c r="AP80" s="12"/>
      <c r="AQ80" s="13"/>
      <c r="AS80" s="6"/>
      <c r="AT80" s="7"/>
      <c r="AU80" s="8"/>
      <c r="AV80" s="9"/>
      <c r="AX80" s="10"/>
      <c r="AY80" s="11"/>
      <c r="AZ80" s="12"/>
      <c r="BA80" s="13"/>
      <c r="BC80" s="6"/>
      <c r="BD80" s="7"/>
      <c r="BE80" s="8"/>
      <c r="BF80" s="9"/>
      <c r="BG80" s="4"/>
      <c r="BH80" s="46">
        <f t="shared" si="2"/>
        <v>0</v>
      </c>
      <c r="BI80" s="47">
        <f t="shared" si="3"/>
        <v>0</v>
      </c>
    </row>
    <row r="81" spans="1:61" x14ac:dyDescent="0.25">
      <c r="A81" s="42" t="s">
        <v>206</v>
      </c>
      <c r="B81" s="43">
        <v>3</v>
      </c>
      <c r="C81" s="42" t="s">
        <v>64</v>
      </c>
      <c r="D81" t="s">
        <v>56</v>
      </c>
      <c r="E81" s="6"/>
      <c r="F81" s="7"/>
      <c r="G81" s="8"/>
      <c r="H81" s="9"/>
      <c r="J81" s="10"/>
      <c r="K81" s="11"/>
      <c r="L81" s="12"/>
      <c r="M81" s="13"/>
      <c r="O81" s="6"/>
      <c r="P81" s="7"/>
      <c r="Q81" s="8"/>
      <c r="R81" s="9"/>
      <c r="T81" s="10"/>
      <c r="U81" s="11"/>
      <c r="V81" s="12"/>
      <c r="W81" s="13"/>
      <c r="Y81" s="6"/>
      <c r="Z81" s="7"/>
      <c r="AA81" s="8"/>
      <c r="AB81" s="9"/>
      <c r="AD81" s="10"/>
      <c r="AE81" s="11"/>
      <c r="AF81" s="12"/>
      <c r="AG81" s="13"/>
      <c r="AI81" s="6"/>
      <c r="AJ81" s="7"/>
      <c r="AK81" s="8"/>
      <c r="AL81" s="9"/>
      <c r="AN81" s="10"/>
      <c r="AO81" s="11"/>
      <c r="AP81" s="12"/>
      <c r="AQ81" s="13"/>
      <c r="AS81" s="6"/>
      <c r="AT81" s="7"/>
      <c r="AU81" s="8"/>
      <c r="AV81" s="9"/>
      <c r="AX81" s="10"/>
      <c r="AY81" s="11"/>
      <c r="AZ81" s="12"/>
      <c r="BA81" s="13"/>
      <c r="BC81" s="6"/>
      <c r="BD81" s="7"/>
      <c r="BE81" s="8"/>
      <c r="BF81" s="9"/>
      <c r="BG81" s="4"/>
      <c r="BH81" s="46">
        <f t="shared" si="2"/>
        <v>0</v>
      </c>
      <c r="BI81" s="47">
        <f t="shared" si="3"/>
        <v>0</v>
      </c>
    </row>
    <row r="82" spans="1:61" x14ac:dyDescent="0.25">
      <c r="A82" s="42" t="s">
        <v>205</v>
      </c>
      <c r="B82" s="43">
        <v>3</v>
      </c>
      <c r="C82" s="42" t="s">
        <v>64</v>
      </c>
      <c r="D82" t="s">
        <v>56</v>
      </c>
      <c r="E82" s="6"/>
      <c r="F82" s="7"/>
      <c r="G82" s="8"/>
      <c r="H82" s="9"/>
      <c r="J82" s="10"/>
      <c r="K82" s="11"/>
      <c r="L82" s="12"/>
      <c r="M82" s="13"/>
      <c r="O82" s="6"/>
      <c r="P82" s="7"/>
      <c r="Q82" s="8"/>
      <c r="R82" s="9"/>
      <c r="T82" s="10"/>
      <c r="U82" s="11"/>
      <c r="V82" s="12"/>
      <c r="W82" s="13"/>
      <c r="Y82" s="6"/>
      <c r="Z82" s="7"/>
      <c r="AA82" s="8"/>
      <c r="AB82" s="9"/>
      <c r="AD82" s="10"/>
      <c r="AE82" s="11"/>
      <c r="AF82" s="12"/>
      <c r="AG82" s="13"/>
      <c r="AI82" s="6"/>
      <c r="AJ82" s="7"/>
      <c r="AK82" s="8"/>
      <c r="AL82" s="9"/>
      <c r="AN82" s="10"/>
      <c r="AO82" s="11"/>
      <c r="AP82" s="12"/>
      <c r="AQ82" s="13"/>
      <c r="AS82" s="6"/>
      <c r="AT82" s="7"/>
      <c r="AU82" s="8"/>
      <c r="AV82" s="9"/>
      <c r="AX82" s="10"/>
      <c r="AY82" s="11"/>
      <c r="AZ82" s="12"/>
      <c r="BA82" s="13"/>
      <c r="BC82" s="6"/>
      <c r="BD82" s="7"/>
      <c r="BE82" s="8"/>
      <c r="BF82" s="9"/>
      <c r="BG82" s="4"/>
      <c r="BH82" s="46">
        <f t="shared" si="2"/>
        <v>0</v>
      </c>
      <c r="BI82" s="47">
        <f t="shared" si="3"/>
        <v>0</v>
      </c>
    </row>
    <row r="83" spans="1:61" x14ac:dyDescent="0.25">
      <c r="A83" s="42" t="s">
        <v>204</v>
      </c>
      <c r="B83" s="43">
        <v>3</v>
      </c>
      <c r="C83" s="42" t="s">
        <v>64</v>
      </c>
      <c r="D83" t="s">
        <v>56</v>
      </c>
      <c r="E83" s="6"/>
      <c r="F83" s="7"/>
      <c r="G83" s="8"/>
      <c r="H83" s="9"/>
      <c r="J83" s="10"/>
      <c r="K83" s="11"/>
      <c r="L83" s="12"/>
      <c r="M83" s="13"/>
      <c r="O83" s="6"/>
      <c r="P83" s="7"/>
      <c r="Q83" s="8"/>
      <c r="R83" s="9"/>
      <c r="T83" s="10"/>
      <c r="U83" s="11"/>
      <c r="V83" s="12"/>
      <c r="W83" s="13"/>
      <c r="Y83" s="6"/>
      <c r="Z83" s="7"/>
      <c r="AA83" s="8"/>
      <c r="AB83" s="9"/>
      <c r="AD83" s="10"/>
      <c r="AE83" s="11"/>
      <c r="AF83" s="12"/>
      <c r="AG83" s="13"/>
      <c r="AI83" s="6"/>
      <c r="AJ83" s="7"/>
      <c r="AK83" s="8"/>
      <c r="AL83" s="9"/>
      <c r="AN83" s="10"/>
      <c r="AO83" s="11"/>
      <c r="AP83" s="12"/>
      <c r="AQ83" s="13"/>
      <c r="AS83" s="6"/>
      <c r="AT83" s="7"/>
      <c r="AU83" s="8"/>
      <c r="AV83" s="9"/>
      <c r="AX83" s="10"/>
      <c r="AY83" s="11"/>
      <c r="AZ83" s="12"/>
      <c r="BA83" s="13"/>
      <c r="BC83" s="6"/>
      <c r="BD83" s="7"/>
      <c r="BE83" s="8"/>
      <c r="BF83" s="9"/>
      <c r="BG83" s="4"/>
      <c r="BH83" s="46">
        <f t="shared" si="2"/>
        <v>0</v>
      </c>
      <c r="BI83" s="47">
        <f t="shared" si="3"/>
        <v>0</v>
      </c>
    </row>
    <row r="84" spans="1:61" x14ac:dyDescent="0.25">
      <c r="A84" s="42" t="s">
        <v>203</v>
      </c>
      <c r="B84" s="43">
        <v>5</v>
      </c>
      <c r="C84" s="42" t="s">
        <v>64</v>
      </c>
      <c r="D84" t="s">
        <v>58</v>
      </c>
      <c r="E84" s="6"/>
      <c r="F84" s="7"/>
      <c r="G84" s="8"/>
      <c r="H84" s="9"/>
      <c r="J84" s="10"/>
      <c r="K84" s="11"/>
      <c r="L84" s="12"/>
      <c r="M84" s="13"/>
      <c r="O84" s="6"/>
      <c r="P84" s="7"/>
      <c r="Q84" s="8"/>
      <c r="R84" s="9"/>
      <c r="T84" s="10"/>
      <c r="U84" s="11"/>
      <c r="V84" s="12"/>
      <c r="W84" s="13"/>
      <c r="Y84" s="6"/>
      <c r="Z84" s="7"/>
      <c r="AA84" s="8"/>
      <c r="AB84" s="9"/>
      <c r="AD84" s="10"/>
      <c r="AE84" s="11"/>
      <c r="AF84" s="12"/>
      <c r="AG84" s="13"/>
      <c r="AI84" s="6"/>
      <c r="AJ84" s="7"/>
      <c r="AK84" s="8"/>
      <c r="AL84" s="9"/>
      <c r="AN84" s="10"/>
      <c r="AO84" s="11"/>
      <c r="AP84" s="12"/>
      <c r="AQ84" s="13"/>
      <c r="AS84" s="6"/>
      <c r="AT84" s="7"/>
      <c r="AU84" s="8"/>
      <c r="AV84" s="9"/>
      <c r="AX84" s="10"/>
      <c r="AY84" s="11"/>
      <c r="AZ84" s="12"/>
      <c r="BA84" s="13"/>
      <c r="BC84" s="6"/>
      <c r="BD84" s="7"/>
      <c r="BE84" s="8"/>
      <c r="BF84" s="9"/>
      <c r="BG84" s="4"/>
      <c r="BH84" s="46">
        <f t="shared" si="2"/>
        <v>0</v>
      </c>
      <c r="BI84" s="47">
        <f t="shared" si="3"/>
        <v>0</v>
      </c>
    </row>
    <row r="85" spans="1:61" x14ac:dyDescent="0.25">
      <c r="A85" s="42" t="s">
        <v>338</v>
      </c>
      <c r="B85" s="43">
        <v>5</v>
      </c>
      <c r="C85" s="42" t="s">
        <v>64</v>
      </c>
      <c r="D85" t="s">
        <v>58</v>
      </c>
      <c r="E85" s="6"/>
      <c r="F85" s="7"/>
      <c r="G85" s="8"/>
      <c r="H85" s="9"/>
      <c r="J85" s="10"/>
      <c r="K85" s="11"/>
      <c r="L85" s="12"/>
      <c r="M85" s="13"/>
      <c r="O85" s="6"/>
      <c r="P85" s="7"/>
      <c r="Q85" s="8"/>
      <c r="R85" s="9"/>
      <c r="T85" s="10"/>
      <c r="U85" s="11"/>
      <c r="V85" s="12"/>
      <c r="W85" s="13"/>
      <c r="Y85" s="6"/>
      <c r="Z85" s="7"/>
      <c r="AA85" s="8"/>
      <c r="AB85" s="9"/>
      <c r="AD85" s="10"/>
      <c r="AE85" s="11"/>
      <c r="AF85" s="12"/>
      <c r="AG85" s="13"/>
      <c r="AI85" s="6"/>
      <c r="AJ85" s="7"/>
      <c r="AK85" s="8"/>
      <c r="AL85" s="9"/>
      <c r="AN85" s="10"/>
      <c r="AO85" s="11"/>
      <c r="AP85" s="12"/>
      <c r="AQ85" s="13"/>
      <c r="AS85" s="6"/>
      <c r="AT85" s="7"/>
      <c r="AU85" s="8"/>
      <c r="AV85" s="9"/>
      <c r="AX85" s="10"/>
      <c r="AY85" s="11"/>
      <c r="AZ85" s="12"/>
      <c r="BA85" s="13"/>
      <c r="BC85" s="6"/>
      <c r="BD85" s="7"/>
      <c r="BE85" s="8"/>
      <c r="BF85" s="9"/>
      <c r="BG85" s="4"/>
      <c r="BH85" s="46">
        <f t="shared" si="2"/>
        <v>0</v>
      </c>
      <c r="BI85" s="47">
        <f t="shared" si="3"/>
        <v>0</v>
      </c>
    </row>
    <row r="86" spans="1:61" x14ac:dyDescent="0.25">
      <c r="A86" s="42" t="s">
        <v>202</v>
      </c>
      <c r="B86" s="43">
        <v>5</v>
      </c>
      <c r="C86" s="42" t="s">
        <v>64</v>
      </c>
      <c r="D86" t="s">
        <v>58</v>
      </c>
      <c r="E86" s="6"/>
      <c r="F86" s="7"/>
      <c r="G86" s="8"/>
      <c r="H86" s="9"/>
      <c r="J86" s="10"/>
      <c r="K86" s="11"/>
      <c r="L86" s="12"/>
      <c r="M86" s="13"/>
      <c r="O86" s="6"/>
      <c r="P86" s="7"/>
      <c r="Q86" s="8"/>
      <c r="R86" s="9"/>
      <c r="T86" s="10"/>
      <c r="U86" s="11"/>
      <c r="V86" s="12"/>
      <c r="W86" s="13"/>
      <c r="Y86" s="6"/>
      <c r="Z86" s="7"/>
      <c r="AA86" s="8"/>
      <c r="AB86" s="9"/>
      <c r="AD86" s="10"/>
      <c r="AE86" s="11"/>
      <c r="AF86" s="12"/>
      <c r="AG86" s="13"/>
      <c r="AI86" s="6"/>
      <c r="AJ86" s="7"/>
      <c r="AK86" s="8"/>
      <c r="AL86" s="9"/>
      <c r="AN86" s="10"/>
      <c r="AO86" s="11"/>
      <c r="AP86" s="12"/>
      <c r="AQ86" s="13"/>
      <c r="AS86" s="6"/>
      <c r="AT86" s="7"/>
      <c r="AU86" s="8"/>
      <c r="AV86" s="9"/>
      <c r="AX86" s="10"/>
      <c r="AY86" s="11"/>
      <c r="AZ86" s="12"/>
      <c r="BA86" s="13"/>
      <c r="BC86" s="6"/>
      <c r="BD86" s="7"/>
      <c r="BE86" s="8"/>
      <c r="BF86" s="9"/>
      <c r="BG86" s="4"/>
      <c r="BH86" s="46">
        <f t="shared" si="2"/>
        <v>0</v>
      </c>
      <c r="BI86" s="47">
        <f t="shared" si="3"/>
        <v>0</v>
      </c>
    </row>
    <row r="87" spans="1:61" x14ac:dyDescent="0.25">
      <c r="A87" s="42" t="s">
        <v>201</v>
      </c>
      <c r="B87" s="43">
        <v>5</v>
      </c>
      <c r="C87" s="42" t="s">
        <v>64</v>
      </c>
      <c r="D87" t="s">
        <v>58</v>
      </c>
      <c r="E87" s="6"/>
      <c r="F87" s="7"/>
      <c r="G87" s="8"/>
      <c r="H87" s="9"/>
      <c r="J87" s="10"/>
      <c r="K87" s="11"/>
      <c r="L87" s="12"/>
      <c r="M87" s="13"/>
      <c r="O87" s="6"/>
      <c r="P87" s="7"/>
      <c r="Q87" s="8"/>
      <c r="R87" s="9"/>
      <c r="T87" s="10"/>
      <c r="U87" s="11"/>
      <c r="V87" s="12"/>
      <c r="W87" s="13"/>
      <c r="Y87" s="6"/>
      <c r="Z87" s="7"/>
      <c r="AA87" s="8"/>
      <c r="AB87" s="9"/>
      <c r="AD87" s="10"/>
      <c r="AE87" s="11"/>
      <c r="AF87" s="12"/>
      <c r="AG87" s="13"/>
      <c r="AI87" s="6"/>
      <c r="AJ87" s="7"/>
      <c r="AK87" s="8"/>
      <c r="AL87" s="9"/>
      <c r="AN87" s="10"/>
      <c r="AO87" s="11"/>
      <c r="AP87" s="12"/>
      <c r="AQ87" s="13"/>
      <c r="AS87" s="6"/>
      <c r="AT87" s="7"/>
      <c r="AU87" s="8"/>
      <c r="AV87" s="9"/>
      <c r="AX87" s="10"/>
      <c r="AY87" s="11"/>
      <c r="AZ87" s="12"/>
      <c r="BA87" s="13"/>
      <c r="BC87" s="6"/>
      <c r="BD87" s="7"/>
      <c r="BE87" s="8"/>
      <c r="BF87" s="9"/>
      <c r="BG87" s="4"/>
      <c r="BH87" s="46">
        <f t="shared" si="2"/>
        <v>0</v>
      </c>
      <c r="BI87" s="47">
        <f t="shared" si="3"/>
        <v>0</v>
      </c>
    </row>
    <row r="88" spans="1:61" x14ac:dyDescent="0.25">
      <c r="A88" s="42" t="s">
        <v>200</v>
      </c>
      <c r="B88" s="43">
        <v>5</v>
      </c>
      <c r="C88" s="42" t="s">
        <v>64</v>
      </c>
      <c r="D88" t="s">
        <v>58</v>
      </c>
      <c r="E88" s="6"/>
      <c r="F88" s="7"/>
      <c r="G88" s="8"/>
      <c r="H88" s="9"/>
      <c r="J88" s="10"/>
      <c r="K88" s="11"/>
      <c r="L88" s="12"/>
      <c r="M88" s="13"/>
      <c r="O88" s="6"/>
      <c r="P88" s="7"/>
      <c r="Q88" s="8"/>
      <c r="R88" s="9"/>
      <c r="T88" s="10"/>
      <c r="U88" s="11"/>
      <c r="V88" s="12"/>
      <c r="W88" s="13"/>
      <c r="Y88" s="6"/>
      <c r="Z88" s="7"/>
      <c r="AA88" s="8"/>
      <c r="AB88" s="9"/>
      <c r="AD88" s="10"/>
      <c r="AE88" s="11"/>
      <c r="AF88" s="12"/>
      <c r="AG88" s="13"/>
      <c r="AI88" s="6"/>
      <c r="AJ88" s="7"/>
      <c r="AK88" s="8"/>
      <c r="AL88" s="9"/>
      <c r="AN88" s="10"/>
      <c r="AO88" s="11"/>
      <c r="AP88" s="12"/>
      <c r="AQ88" s="13"/>
      <c r="AS88" s="6"/>
      <c r="AT88" s="7"/>
      <c r="AU88" s="8"/>
      <c r="AV88" s="9"/>
      <c r="AX88" s="10"/>
      <c r="AY88" s="11"/>
      <c r="AZ88" s="12"/>
      <c r="BA88" s="13"/>
      <c r="BC88" s="6"/>
      <c r="BD88" s="7"/>
      <c r="BE88" s="8"/>
      <c r="BF88" s="9"/>
      <c r="BG88" s="4"/>
      <c r="BH88" s="46">
        <f t="shared" si="2"/>
        <v>0</v>
      </c>
      <c r="BI88" s="47">
        <f t="shared" si="3"/>
        <v>0</v>
      </c>
    </row>
    <row r="89" spans="1:61" x14ac:dyDescent="0.25">
      <c r="A89" s="42" t="s">
        <v>199</v>
      </c>
      <c r="B89" s="43">
        <v>4</v>
      </c>
      <c r="C89" s="42" t="s">
        <v>64</v>
      </c>
      <c r="D89" t="s">
        <v>55</v>
      </c>
      <c r="E89" s="6"/>
      <c r="F89" s="7"/>
      <c r="G89" s="8"/>
      <c r="H89" s="9"/>
      <c r="J89" s="10"/>
      <c r="K89" s="11"/>
      <c r="L89" s="12"/>
      <c r="M89" s="13"/>
      <c r="O89" s="6"/>
      <c r="P89" s="7"/>
      <c r="Q89" s="8"/>
      <c r="R89" s="9"/>
      <c r="T89" s="10"/>
      <c r="U89" s="11"/>
      <c r="V89" s="12"/>
      <c r="W89" s="13"/>
      <c r="Y89" s="6"/>
      <c r="Z89" s="7"/>
      <c r="AA89" s="8"/>
      <c r="AB89" s="9"/>
      <c r="AD89" s="10"/>
      <c r="AE89" s="11"/>
      <c r="AF89" s="12"/>
      <c r="AG89" s="13"/>
      <c r="AI89" s="6"/>
      <c r="AJ89" s="7"/>
      <c r="AK89" s="8"/>
      <c r="AL89" s="9"/>
      <c r="AN89" s="10"/>
      <c r="AO89" s="11"/>
      <c r="AP89" s="12"/>
      <c r="AQ89" s="13"/>
      <c r="AS89" s="6"/>
      <c r="AT89" s="7"/>
      <c r="AU89" s="8"/>
      <c r="AV89" s="9"/>
      <c r="AX89" s="10"/>
      <c r="AY89" s="11"/>
      <c r="AZ89" s="12"/>
      <c r="BA89" s="13"/>
      <c r="BC89" s="6"/>
      <c r="BD89" s="7"/>
      <c r="BE89" s="8"/>
      <c r="BF89" s="9"/>
      <c r="BG89" s="4"/>
      <c r="BH89" s="46">
        <f t="shared" si="2"/>
        <v>0</v>
      </c>
      <c r="BI89" s="47">
        <f t="shared" si="3"/>
        <v>0</v>
      </c>
    </row>
    <row r="90" spans="1:61" x14ac:dyDescent="0.25">
      <c r="A90" s="42" t="s">
        <v>198</v>
      </c>
      <c r="B90" s="43">
        <v>4</v>
      </c>
      <c r="C90" s="42" t="s">
        <v>64</v>
      </c>
      <c r="D90" t="s">
        <v>55</v>
      </c>
      <c r="E90" s="6"/>
      <c r="F90" s="7"/>
      <c r="G90" s="8"/>
      <c r="H90" s="9"/>
      <c r="J90" s="10"/>
      <c r="K90" s="11"/>
      <c r="L90" s="12"/>
      <c r="M90" s="13"/>
      <c r="O90" s="6"/>
      <c r="P90" s="7"/>
      <c r="Q90" s="8"/>
      <c r="R90" s="9"/>
      <c r="T90" s="10"/>
      <c r="U90" s="11"/>
      <c r="V90" s="12"/>
      <c r="W90" s="13"/>
      <c r="Y90" s="6"/>
      <c r="Z90" s="7"/>
      <c r="AA90" s="8"/>
      <c r="AB90" s="9"/>
      <c r="AD90" s="10"/>
      <c r="AE90" s="11"/>
      <c r="AF90" s="12"/>
      <c r="AG90" s="13"/>
      <c r="AI90" s="6"/>
      <c r="AJ90" s="7"/>
      <c r="AK90" s="8"/>
      <c r="AL90" s="9"/>
      <c r="AN90" s="10"/>
      <c r="AO90" s="11"/>
      <c r="AP90" s="12"/>
      <c r="AQ90" s="13"/>
      <c r="AS90" s="6"/>
      <c r="AT90" s="7"/>
      <c r="AU90" s="8"/>
      <c r="AV90" s="9"/>
      <c r="AX90" s="10"/>
      <c r="AY90" s="11"/>
      <c r="AZ90" s="12"/>
      <c r="BA90" s="13"/>
      <c r="BC90" s="6"/>
      <c r="BD90" s="7"/>
      <c r="BE90" s="8"/>
      <c r="BF90" s="9"/>
      <c r="BG90" s="4"/>
      <c r="BH90" s="46">
        <f t="shared" si="2"/>
        <v>0</v>
      </c>
      <c r="BI90" s="47">
        <f t="shared" si="3"/>
        <v>0</v>
      </c>
    </row>
    <row r="91" spans="1:61" x14ac:dyDescent="0.25">
      <c r="A91" s="42" t="s">
        <v>197</v>
      </c>
      <c r="B91" s="43">
        <v>4</v>
      </c>
      <c r="C91" s="42" t="s">
        <v>64</v>
      </c>
      <c r="D91" t="s">
        <v>55</v>
      </c>
      <c r="E91" s="6"/>
      <c r="F91" s="7"/>
      <c r="G91" s="8"/>
      <c r="H91" s="9"/>
      <c r="J91" s="10"/>
      <c r="K91" s="11"/>
      <c r="L91" s="12"/>
      <c r="M91" s="13"/>
      <c r="O91" s="6"/>
      <c r="P91" s="7"/>
      <c r="Q91" s="8"/>
      <c r="R91" s="9"/>
      <c r="T91" s="10"/>
      <c r="U91" s="11"/>
      <c r="V91" s="12"/>
      <c r="W91" s="13"/>
      <c r="Y91" s="6"/>
      <c r="Z91" s="7"/>
      <c r="AA91" s="8"/>
      <c r="AB91" s="9"/>
      <c r="AD91" s="10"/>
      <c r="AE91" s="11"/>
      <c r="AF91" s="12"/>
      <c r="AG91" s="13"/>
      <c r="AI91" s="6"/>
      <c r="AJ91" s="7"/>
      <c r="AK91" s="8"/>
      <c r="AL91" s="9"/>
      <c r="AN91" s="10"/>
      <c r="AO91" s="11"/>
      <c r="AP91" s="12"/>
      <c r="AQ91" s="13"/>
      <c r="AS91" s="6"/>
      <c r="AT91" s="7"/>
      <c r="AU91" s="8"/>
      <c r="AV91" s="9"/>
      <c r="AX91" s="10"/>
      <c r="AY91" s="11"/>
      <c r="AZ91" s="12"/>
      <c r="BA91" s="13"/>
      <c r="BC91" s="6"/>
      <c r="BD91" s="7"/>
      <c r="BE91" s="8"/>
      <c r="BF91" s="9"/>
      <c r="BG91" s="4"/>
      <c r="BH91" s="46">
        <f t="shared" si="2"/>
        <v>0</v>
      </c>
      <c r="BI91" s="47">
        <f t="shared" si="3"/>
        <v>0</v>
      </c>
    </row>
    <row r="92" spans="1:61" x14ac:dyDescent="0.25">
      <c r="A92" s="42" t="s">
        <v>196</v>
      </c>
      <c r="B92" s="43">
        <v>4</v>
      </c>
      <c r="C92" s="42" t="s">
        <v>64</v>
      </c>
      <c r="D92" t="s">
        <v>55</v>
      </c>
      <c r="E92" s="6"/>
      <c r="F92" s="7"/>
      <c r="G92" s="8"/>
      <c r="H92" s="9"/>
      <c r="J92" s="10"/>
      <c r="K92" s="11"/>
      <c r="L92" s="12"/>
      <c r="M92" s="13"/>
      <c r="O92" s="6"/>
      <c r="P92" s="7"/>
      <c r="Q92" s="8"/>
      <c r="R92" s="9"/>
      <c r="T92" s="10"/>
      <c r="U92" s="11"/>
      <c r="V92" s="12"/>
      <c r="W92" s="13"/>
      <c r="Y92" s="6"/>
      <c r="Z92" s="7"/>
      <c r="AA92" s="8"/>
      <c r="AB92" s="9"/>
      <c r="AD92" s="10"/>
      <c r="AE92" s="11"/>
      <c r="AF92" s="12"/>
      <c r="AG92" s="13"/>
      <c r="AI92" s="6"/>
      <c r="AJ92" s="7"/>
      <c r="AK92" s="8"/>
      <c r="AL92" s="9"/>
      <c r="AN92" s="10"/>
      <c r="AO92" s="11"/>
      <c r="AP92" s="12"/>
      <c r="AQ92" s="13"/>
      <c r="AS92" s="6"/>
      <c r="AT92" s="7"/>
      <c r="AU92" s="8"/>
      <c r="AV92" s="9"/>
      <c r="AX92" s="10"/>
      <c r="AY92" s="11"/>
      <c r="AZ92" s="12"/>
      <c r="BA92" s="13"/>
      <c r="BC92" s="6"/>
      <c r="BD92" s="7"/>
      <c r="BE92" s="8"/>
      <c r="BF92" s="9"/>
      <c r="BG92" s="4"/>
      <c r="BH92" s="46">
        <f t="shared" si="2"/>
        <v>0</v>
      </c>
      <c r="BI92" s="47">
        <f t="shared" si="3"/>
        <v>0</v>
      </c>
    </row>
    <row r="93" spans="1:61" x14ac:dyDescent="0.25">
      <c r="A93" s="42" t="s">
        <v>195</v>
      </c>
      <c r="B93" s="43">
        <v>4</v>
      </c>
      <c r="C93" s="42" t="s">
        <v>64</v>
      </c>
      <c r="D93" t="s">
        <v>55</v>
      </c>
      <c r="E93" s="6"/>
      <c r="F93" s="7"/>
      <c r="G93" s="8"/>
      <c r="H93" s="9"/>
      <c r="J93" s="10"/>
      <c r="K93" s="11"/>
      <c r="L93" s="12"/>
      <c r="M93" s="13"/>
      <c r="O93" s="6"/>
      <c r="P93" s="7"/>
      <c r="Q93" s="8"/>
      <c r="R93" s="9"/>
      <c r="T93" s="10"/>
      <c r="U93" s="11"/>
      <c r="V93" s="12"/>
      <c r="W93" s="13"/>
      <c r="Y93" s="6"/>
      <c r="Z93" s="7"/>
      <c r="AA93" s="8"/>
      <c r="AB93" s="9"/>
      <c r="AD93" s="10"/>
      <c r="AE93" s="11"/>
      <c r="AF93" s="12"/>
      <c r="AG93" s="13"/>
      <c r="AI93" s="6"/>
      <c r="AJ93" s="7"/>
      <c r="AK93" s="8"/>
      <c r="AL93" s="9"/>
      <c r="AN93" s="10"/>
      <c r="AO93" s="11"/>
      <c r="AP93" s="12"/>
      <c r="AQ93" s="13"/>
      <c r="AS93" s="6"/>
      <c r="AT93" s="7"/>
      <c r="AU93" s="8"/>
      <c r="AV93" s="9"/>
      <c r="AX93" s="10"/>
      <c r="AY93" s="11"/>
      <c r="AZ93" s="12"/>
      <c r="BA93" s="13"/>
      <c r="BC93" s="6"/>
      <c r="BD93" s="7"/>
      <c r="BE93" s="8"/>
      <c r="BF93" s="9"/>
      <c r="BG93" s="4"/>
      <c r="BH93" s="46">
        <f t="shared" si="2"/>
        <v>0</v>
      </c>
      <c r="BI93" s="47">
        <f t="shared" si="3"/>
        <v>0</v>
      </c>
    </row>
    <row r="94" spans="1:61" x14ac:dyDescent="0.25">
      <c r="A94" s="42" t="s">
        <v>194</v>
      </c>
      <c r="B94" s="43">
        <v>4</v>
      </c>
      <c r="C94" s="42" t="s">
        <v>64</v>
      </c>
      <c r="D94" t="s">
        <v>55</v>
      </c>
      <c r="E94" s="6"/>
      <c r="F94" s="7"/>
      <c r="G94" s="8"/>
      <c r="H94" s="9"/>
      <c r="J94" s="10"/>
      <c r="K94" s="11"/>
      <c r="L94" s="12"/>
      <c r="M94" s="13"/>
      <c r="O94" s="6"/>
      <c r="P94" s="7"/>
      <c r="Q94" s="8"/>
      <c r="R94" s="9"/>
      <c r="T94" s="10"/>
      <c r="U94" s="11"/>
      <c r="V94" s="12"/>
      <c r="W94" s="13"/>
      <c r="Y94" s="6"/>
      <c r="Z94" s="7"/>
      <c r="AA94" s="8"/>
      <c r="AB94" s="9"/>
      <c r="AD94" s="10"/>
      <c r="AE94" s="11"/>
      <c r="AF94" s="12"/>
      <c r="AG94" s="13"/>
      <c r="AI94" s="6"/>
      <c r="AJ94" s="7"/>
      <c r="AK94" s="8"/>
      <c r="AL94" s="9"/>
      <c r="AN94" s="10"/>
      <c r="AO94" s="11"/>
      <c r="AP94" s="12"/>
      <c r="AQ94" s="13"/>
      <c r="AS94" s="6"/>
      <c r="AT94" s="7"/>
      <c r="AU94" s="8"/>
      <c r="AV94" s="9"/>
      <c r="AX94" s="10"/>
      <c r="AY94" s="11"/>
      <c r="AZ94" s="12"/>
      <c r="BA94" s="13"/>
      <c r="BC94" s="6"/>
      <c r="BD94" s="7"/>
      <c r="BE94" s="8"/>
      <c r="BF94" s="9"/>
      <c r="BG94" s="4"/>
      <c r="BH94" s="46">
        <f t="shared" si="2"/>
        <v>0</v>
      </c>
      <c r="BI94" s="47">
        <f t="shared" si="3"/>
        <v>0</v>
      </c>
    </row>
    <row r="95" spans="1:61" x14ac:dyDescent="0.25">
      <c r="A95" s="42" t="s">
        <v>193</v>
      </c>
      <c r="B95" s="43">
        <v>6</v>
      </c>
      <c r="C95" s="42" t="s">
        <v>64</v>
      </c>
      <c r="D95" t="s">
        <v>50</v>
      </c>
      <c r="E95" s="6"/>
      <c r="F95" s="7"/>
      <c r="G95" s="8"/>
      <c r="H95" s="9"/>
      <c r="J95" s="10"/>
      <c r="K95" s="11"/>
      <c r="L95" s="12"/>
      <c r="M95" s="13"/>
      <c r="O95" s="6"/>
      <c r="P95" s="7"/>
      <c r="Q95" s="8"/>
      <c r="R95" s="9"/>
      <c r="T95" s="10"/>
      <c r="U95" s="11"/>
      <c r="V95" s="12"/>
      <c r="W95" s="13"/>
      <c r="Y95" s="6"/>
      <c r="Z95" s="7"/>
      <c r="AA95" s="8"/>
      <c r="AB95" s="9"/>
      <c r="AD95" s="10"/>
      <c r="AE95" s="11"/>
      <c r="AF95" s="12"/>
      <c r="AG95" s="13"/>
      <c r="AI95" s="6"/>
      <c r="AJ95" s="7"/>
      <c r="AK95" s="8"/>
      <c r="AL95" s="9"/>
      <c r="AN95" s="10"/>
      <c r="AO95" s="11"/>
      <c r="AP95" s="12"/>
      <c r="AQ95" s="13"/>
      <c r="AS95" s="6"/>
      <c r="AT95" s="7"/>
      <c r="AU95" s="8"/>
      <c r="AV95" s="9"/>
      <c r="AX95" s="10"/>
      <c r="AY95" s="11"/>
      <c r="AZ95" s="12"/>
      <c r="BA95" s="13"/>
      <c r="BC95" s="6"/>
      <c r="BD95" s="7"/>
      <c r="BE95" s="8"/>
      <c r="BF95" s="9"/>
      <c r="BG95" s="4"/>
      <c r="BH95" s="46">
        <f t="shared" si="2"/>
        <v>0</v>
      </c>
      <c r="BI95" s="47">
        <f t="shared" si="3"/>
        <v>0</v>
      </c>
    </row>
    <row r="96" spans="1:61" x14ac:dyDescent="0.25">
      <c r="A96" s="42" t="s">
        <v>192</v>
      </c>
      <c r="B96" s="43">
        <v>6</v>
      </c>
      <c r="C96" s="42" t="s">
        <v>64</v>
      </c>
      <c r="D96" t="s">
        <v>50</v>
      </c>
      <c r="E96" s="6"/>
      <c r="F96" s="7"/>
      <c r="G96" s="8"/>
      <c r="H96" s="9"/>
      <c r="J96" s="10"/>
      <c r="K96" s="11"/>
      <c r="L96" s="12"/>
      <c r="M96" s="13"/>
      <c r="O96" s="6"/>
      <c r="P96" s="7"/>
      <c r="Q96" s="8"/>
      <c r="R96" s="9"/>
      <c r="T96" s="10"/>
      <c r="U96" s="11"/>
      <c r="V96" s="12"/>
      <c r="W96" s="13"/>
      <c r="Y96" s="6"/>
      <c r="Z96" s="7"/>
      <c r="AA96" s="8"/>
      <c r="AB96" s="9"/>
      <c r="AD96" s="10"/>
      <c r="AE96" s="11"/>
      <c r="AF96" s="12"/>
      <c r="AG96" s="13"/>
      <c r="AI96" s="6"/>
      <c r="AJ96" s="7"/>
      <c r="AK96" s="8"/>
      <c r="AL96" s="9"/>
      <c r="AN96" s="10"/>
      <c r="AO96" s="11"/>
      <c r="AP96" s="12"/>
      <c r="AQ96" s="13"/>
      <c r="AS96" s="6"/>
      <c r="AT96" s="7"/>
      <c r="AU96" s="8"/>
      <c r="AV96" s="9"/>
      <c r="AX96" s="10"/>
      <c r="AY96" s="11"/>
      <c r="AZ96" s="12"/>
      <c r="BA96" s="13"/>
      <c r="BC96" s="6"/>
      <c r="BD96" s="7"/>
      <c r="BE96" s="8"/>
      <c r="BF96" s="9"/>
      <c r="BG96" s="4"/>
      <c r="BH96" s="46">
        <f t="shared" si="2"/>
        <v>0</v>
      </c>
      <c r="BI96" s="47">
        <f t="shared" si="3"/>
        <v>0</v>
      </c>
    </row>
    <row r="97" spans="1:61" x14ac:dyDescent="0.25">
      <c r="A97" s="42" t="s">
        <v>191</v>
      </c>
      <c r="B97" s="43">
        <v>7</v>
      </c>
      <c r="C97" s="42" t="s">
        <v>64</v>
      </c>
      <c r="D97" t="s">
        <v>50</v>
      </c>
      <c r="E97" s="6"/>
      <c r="F97" s="7"/>
      <c r="G97" s="8"/>
      <c r="H97" s="9"/>
      <c r="J97" s="10"/>
      <c r="K97" s="11"/>
      <c r="L97" s="12"/>
      <c r="M97" s="13"/>
      <c r="O97" s="6"/>
      <c r="P97" s="7"/>
      <c r="Q97" s="8"/>
      <c r="R97" s="9"/>
      <c r="T97" s="10"/>
      <c r="U97" s="11"/>
      <c r="V97" s="12"/>
      <c r="W97" s="13"/>
      <c r="Y97" s="6"/>
      <c r="Z97" s="7"/>
      <c r="AA97" s="8"/>
      <c r="AB97" s="9"/>
      <c r="AD97" s="10"/>
      <c r="AE97" s="11"/>
      <c r="AF97" s="12"/>
      <c r="AG97" s="13"/>
      <c r="AI97" s="6"/>
      <c r="AJ97" s="7"/>
      <c r="AK97" s="8"/>
      <c r="AL97" s="9"/>
      <c r="AN97" s="10"/>
      <c r="AO97" s="11"/>
      <c r="AP97" s="12"/>
      <c r="AQ97" s="13"/>
      <c r="AS97" s="6"/>
      <c r="AT97" s="7"/>
      <c r="AU97" s="8"/>
      <c r="AV97" s="9"/>
      <c r="AX97" s="10"/>
      <c r="AY97" s="11"/>
      <c r="AZ97" s="12"/>
      <c r="BA97" s="13"/>
      <c r="BC97" s="6"/>
      <c r="BD97" s="7"/>
      <c r="BE97" s="8"/>
      <c r="BF97" s="9"/>
      <c r="BG97" s="4"/>
      <c r="BH97" s="46">
        <f t="shared" si="2"/>
        <v>0</v>
      </c>
      <c r="BI97" s="47">
        <f t="shared" si="3"/>
        <v>0</v>
      </c>
    </row>
    <row r="98" spans="1:61" x14ac:dyDescent="0.25">
      <c r="A98" s="42" t="s">
        <v>190</v>
      </c>
      <c r="B98" s="43">
        <v>7</v>
      </c>
      <c r="C98" s="42" t="s">
        <v>64</v>
      </c>
      <c r="D98" t="s">
        <v>50</v>
      </c>
      <c r="E98" s="6"/>
      <c r="F98" s="7"/>
      <c r="G98" s="8"/>
      <c r="H98" s="9"/>
      <c r="J98" s="10"/>
      <c r="K98" s="11"/>
      <c r="L98" s="12"/>
      <c r="M98" s="13"/>
      <c r="O98" s="6"/>
      <c r="P98" s="7"/>
      <c r="Q98" s="8"/>
      <c r="R98" s="9"/>
      <c r="T98" s="10"/>
      <c r="U98" s="11"/>
      <c r="V98" s="12"/>
      <c r="W98" s="13"/>
      <c r="Y98" s="6"/>
      <c r="Z98" s="7"/>
      <c r="AA98" s="8"/>
      <c r="AB98" s="9"/>
      <c r="AD98" s="10"/>
      <c r="AE98" s="11"/>
      <c r="AF98" s="12"/>
      <c r="AG98" s="13"/>
      <c r="AI98" s="6"/>
      <c r="AJ98" s="7"/>
      <c r="AK98" s="8"/>
      <c r="AL98" s="9"/>
      <c r="AN98" s="10"/>
      <c r="AO98" s="11"/>
      <c r="AP98" s="12"/>
      <c r="AQ98" s="13"/>
      <c r="AS98" s="6"/>
      <c r="AT98" s="7"/>
      <c r="AU98" s="8"/>
      <c r="AV98" s="9"/>
      <c r="AX98" s="10"/>
      <c r="AY98" s="11"/>
      <c r="AZ98" s="12"/>
      <c r="BA98" s="13"/>
      <c r="BC98" s="6"/>
      <c r="BD98" s="7"/>
      <c r="BE98" s="8"/>
      <c r="BF98" s="9"/>
      <c r="BG98" s="4"/>
      <c r="BH98" s="46">
        <f t="shared" si="2"/>
        <v>0</v>
      </c>
      <c r="BI98" s="47">
        <f t="shared" si="3"/>
        <v>0</v>
      </c>
    </row>
    <row r="99" spans="1:61" x14ac:dyDescent="0.25">
      <c r="A99" s="42" t="s">
        <v>189</v>
      </c>
      <c r="B99" s="43">
        <v>7</v>
      </c>
      <c r="C99" s="42" t="s">
        <v>64</v>
      </c>
      <c r="D99" t="s">
        <v>50</v>
      </c>
      <c r="E99" s="6"/>
      <c r="F99" s="7"/>
      <c r="G99" s="8"/>
      <c r="H99" s="9"/>
      <c r="J99" s="10"/>
      <c r="K99" s="11"/>
      <c r="L99" s="12"/>
      <c r="M99" s="13"/>
      <c r="O99" s="6"/>
      <c r="P99" s="7"/>
      <c r="Q99" s="8"/>
      <c r="R99" s="9"/>
      <c r="T99" s="10"/>
      <c r="U99" s="11"/>
      <c r="V99" s="12"/>
      <c r="W99" s="13"/>
      <c r="Y99" s="6"/>
      <c r="Z99" s="7"/>
      <c r="AA99" s="8"/>
      <c r="AB99" s="9"/>
      <c r="AD99" s="10"/>
      <c r="AE99" s="11"/>
      <c r="AF99" s="12"/>
      <c r="AG99" s="13"/>
      <c r="AI99" s="6"/>
      <c r="AJ99" s="7"/>
      <c r="AK99" s="8"/>
      <c r="AL99" s="9"/>
      <c r="AN99" s="10"/>
      <c r="AO99" s="11"/>
      <c r="AP99" s="12"/>
      <c r="AQ99" s="13"/>
      <c r="AS99" s="6"/>
      <c r="AT99" s="7"/>
      <c r="AU99" s="8"/>
      <c r="AV99" s="9"/>
      <c r="AX99" s="10"/>
      <c r="AY99" s="11"/>
      <c r="AZ99" s="12"/>
      <c r="BA99" s="13"/>
      <c r="BC99" s="6"/>
      <c r="BD99" s="7"/>
      <c r="BE99" s="8"/>
      <c r="BF99" s="9"/>
      <c r="BG99" s="4"/>
      <c r="BH99" s="46">
        <f t="shared" si="2"/>
        <v>0</v>
      </c>
      <c r="BI99" s="47">
        <f t="shared" si="3"/>
        <v>0</v>
      </c>
    </row>
    <row r="100" spans="1:61" x14ac:dyDescent="0.25">
      <c r="A100" s="42" t="s">
        <v>332</v>
      </c>
      <c r="B100" s="43">
        <v>7</v>
      </c>
      <c r="C100" s="42" t="s">
        <v>64</v>
      </c>
      <c r="D100" t="s">
        <v>50</v>
      </c>
      <c r="E100" s="6"/>
      <c r="F100" s="7"/>
      <c r="G100" s="8"/>
      <c r="H100" s="9"/>
      <c r="J100" s="10"/>
      <c r="K100" s="11"/>
      <c r="L100" s="12"/>
      <c r="M100" s="13"/>
      <c r="O100" s="6"/>
      <c r="P100" s="7"/>
      <c r="Q100" s="8"/>
      <c r="R100" s="9"/>
      <c r="T100" s="10"/>
      <c r="U100" s="11"/>
      <c r="V100" s="12"/>
      <c r="W100" s="13"/>
      <c r="Y100" s="6"/>
      <c r="Z100" s="7"/>
      <c r="AA100" s="8"/>
      <c r="AB100" s="9"/>
      <c r="AD100" s="10"/>
      <c r="AE100" s="11"/>
      <c r="AF100" s="12"/>
      <c r="AG100" s="13"/>
      <c r="AI100" s="6"/>
      <c r="AJ100" s="7"/>
      <c r="AK100" s="8"/>
      <c r="AL100" s="9"/>
      <c r="AN100" s="10"/>
      <c r="AO100" s="11"/>
      <c r="AP100" s="12"/>
      <c r="AQ100" s="13"/>
      <c r="AS100" s="6"/>
      <c r="AT100" s="7"/>
      <c r="AU100" s="8"/>
      <c r="AV100" s="9"/>
      <c r="AX100" s="10"/>
      <c r="AY100" s="11"/>
      <c r="AZ100" s="12"/>
      <c r="BA100" s="13"/>
      <c r="BC100" s="6"/>
      <c r="BD100" s="7"/>
      <c r="BE100" s="8"/>
      <c r="BF100" s="9"/>
      <c r="BG100" s="4"/>
      <c r="BH100" s="46">
        <f t="shared" si="2"/>
        <v>0</v>
      </c>
      <c r="BI100" s="47">
        <f t="shared" si="3"/>
        <v>0</v>
      </c>
    </row>
    <row r="101" spans="1:61" x14ac:dyDescent="0.25">
      <c r="A101" s="42" t="s">
        <v>188</v>
      </c>
      <c r="B101" s="43">
        <v>6</v>
      </c>
      <c r="C101" s="42" t="s">
        <v>64</v>
      </c>
      <c r="D101" t="s">
        <v>51</v>
      </c>
      <c r="E101" s="6"/>
      <c r="F101" s="7"/>
      <c r="G101" s="8"/>
      <c r="H101" s="9"/>
      <c r="J101" s="10"/>
      <c r="K101" s="11"/>
      <c r="L101" s="12"/>
      <c r="M101" s="13"/>
      <c r="O101" s="6"/>
      <c r="P101" s="7"/>
      <c r="Q101" s="8"/>
      <c r="R101" s="9"/>
      <c r="T101" s="10"/>
      <c r="U101" s="11"/>
      <c r="V101" s="12"/>
      <c r="W101" s="13"/>
      <c r="Y101" s="6"/>
      <c r="Z101" s="7"/>
      <c r="AA101" s="8"/>
      <c r="AB101" s="9"/>
      <c r="AD101" s="10"/>
      <c r="AE101" s="11"/>
      <c r="AF101" s="12"/>
      <c r="AG101" s="13"/>
      <c r="AI101" s="6"/>
      <c r="AJ101" s="7"/>
      <c r="AK101" s="8"/>
      <c r="AL101" s="9"/>
      <c r="AN101" s="10"/>
      <c r="AO101" s="11"/>
      <c r="AP101" s="12"/>
      <c r="AQ101" s="13"/>
      <c r="AS101" s="6"/>
      <c r="AT101" s="7"/>
      <c r="AU101" s="8"/>
      <c r="AV101" s="9"/>
      <c r="AX101" s="10"/>
      <c r="AY101" s="11"/>
      <c r="AZ101" s="12"/>
      <c r="BA101" s="13"/>
      <c r="BC101" s="6"/>
      <c r="BD101" s="7"/>
      <c r="BE101" s="8"/>
      <c r="BF101" s="9"/>
      <c r="BG101" s="4"/>
      <c r="BH101" s="46">
        <f t="shared" si="2"/>
        <v>0</v>
      </c>
      <c r="BI101" s="47">
        <f t="shared" si="3"/>
        <v>0</v>
      </c>
    </row>
    <row r="102" spans="1:61" x14ac:dyDescent="0.25">
      <c r="A102" s="42" t="s">
        <v>170</v>
      </c>
      <c r="B102" s="43">
        <v>6</v>
      </c>
      <c r="C102" s="42" t="s">
        <v>64</v>
      </c>
      <c r="D102" t="s">
        <v>51</v>
      </c>
      <c r="E102" s="6"/>
      <c r="F102" s="7"/>
      <c r="G102" s="8"/>
      <c r="H102" s="9"/>
      <c r="J102" s="10"/>
      <c r="K102" s="11"/>
      <c r="L102" s="12"/>
      <c r="M102" s="13"/>
      <c r="O102" s="6"/>
      <c r="P102" s="7"/>
      <c r="Q102" s="8"/>
      <c r="R102" s="9"/>
      <c r="T102" s="10"/>
      <c r="U102" s="11"/>
      <c r="V102" s="12"/>
      <c r="W102" s="13"/>
      <c r="Y102" s="6"/>
      <c r="Z102" s="7"/>
      <c r="AA102" s="8"/>
      <c r="AB102" s="9"/>
      <c r="AD102" s="10"/>
      <c r="AE102" s="11"/>
      <c r="AF102" s="12"/>
      <c r="AG102" s="13"/>
      <c r="AI102" s="6"/>
      <c r="AJ102" s="7"/>
      <c r="AK102" s="8"/>
      <c r="AL102" s="9"/>
      <c r="AN102" s="10"/>
      <c r="AO102" s="11"/>
      <c r="AP102" s="12"/>
      <c r="AQ102" s="13"/>
      <c r="AS102" s="6"/>
      <c r="AT102" s="7"/>
      <c r="AU102" s="8"/>
      <c r="AV102" s="9"/>
      <c r="AX102" s="10"/>
      <c r="AY102" s="11"/>
      <c r="AZ102" s="12"/>
      <c r="BA102" s="13"/>
      <c r="BC102" s="6"/>
      <c r="BD102" s="7"/>
      <c r="BE102" s="8"/>
      <c r="BF102" s="9"/>
      <c r="BG102" s="4"/>
      <c r="BH102" s="46">
        <f t="shared" si="2"/>
        <v>0</v>
      </c>
      <c r="BI102" s="47">
        <f t="shared" si="3"/>
        <v>0</v>
      </c>
    </row>
    <row r="103" spans="1:61" x14ac:dyDescent="0.25">
      <c r="A103" s="42" t="s">
        <v>171</v>
      </c>
      <c r="B103" s="43">
        <v>6</v>
      </c>
      <c r="C103" s="42" t="s">
        <v>64</v>
      </c>
      <c r="D103" t="s">
        <v>51</v>
      </c>
      <c r="E103" s="6"/>
      <c r="F103" s="7"/>
      <c r="G103" s="8"/>
      <c r="H103" s="9"/>
      <c r="J103" s="10"/>
      <c r="K103" s="11"/>
      <c r="L103" s="12"/>
      <c r="M103" s="13"/>
      <c r="O103" s="6"/>
      <c r="P103" s="7"/>
      <c r="Q103" s="8"/>
      <c r="R103" s="9"/>
      <c r="T103" s="10"/>
      <c r="U103" s="11"/>
      <c r="V103" s="12"/>
      <c r="W103" s="13"/>
      <c r="Y103" s="6"/>
      <c r="Z103" s="7"/>
      <c r="AA103" s="8"/>
      <c r="AB103" s="9"/>
      <c r="AD103" s="10"/>
      <c r="AE103" s="11"/>
      <c r="AF103" s="12"/>
      <c r="AG103" s="13"/>
      <c r="AI103" s="6"/>
      <c r="AJ103" s="7"/>
      <c r="AK103" s="8"/>
      <c r="AL103" s="9"/>
      <c r="AN103" s="10"/>
      <c r="AO103" s="11"/>
      <c r="AP103" s="12"/>
      <c r="AQ103" s="13"/>
      <c r="AS103" s="6"/>
      <c r="AT103" s="7"/>
      <c r="AU103" s="8"/>
      <c r="AV103" s="9"/>
      <c r="AX103" s="10"/>
      <c r="AY103" s="11"/>
      <c r="AZ103" s="12"/>
      <c r="BA103" s="13"/>
      <c r="BC103" s="6"/>
      <c r="BD103" s="7"/>
      <c r="BE103" s="8"/>
      <c r="BF103" s="9"/>
      <c r="BG103" s="4"/>
      <c r="BH103" s="46">
        <f t="shared" si="2"/>
        <v>0</v>
      </c>
      <c r="BI103" s="47">
        <f t="shared" si="3"/>
        <v>0</v>
      </c>
    </row>
    <row r="104" spans="1:61" x14ac:dyDescent="0.25">
      <c r="A104" s="42" t="s">
        <v>187</v>
      </c>
      <c r="B104" s="43">
        <v>6</v>
      </c>
      <c r="C104" s="42" t="s">
        <v>64</v>
      </c>
      <c r="D104" t="s">
        <v>51</v>
      </c>
      <c r="E104" s="6"/>
      <c r="F104" s="7"/>
      <c r="G104" s="8"/>
      <c r="H104" s="9"/>
      <c r="J104" s="10"/>
      <c r="K104" s="11"/>
      <c r="L104" s="12"/>
      <c r="M104" s="13"/>
      <c r="O104" s="6"/>
      <c r="P104" s="7"/>
      <c r="Q104" s="8"/>
      <c r="R104" s="9"/>
      <c r="T104" s="10"/>
      <c r="U104" s="11"/>
      <c r="V104" s="12"/>
      <c r="W104" s="13"/>
      <c r="Y104" s="6"/>
      <c r="Z104" s="7"/>
      <c r="AA104" s="8"/>
      <c r="AB104" s="9"/>
      <c r="AD104" s="10"/>
      <c r="AE104" s="11"/>
      <c r="AF104" s="12"/>
      <c r="AG104" s="13"/>
      <c r="AI104" s="6"/>
      <c r="AJ104" s="7"/>
      <c r="AK104" s="8"/>
      <c r="AL104" s="9"/>
      <c r="AN104" s="10"/>
      <c r="AO104" s="11"/>
      <c r="AP104" s="12"/>
      <c r="AQ104" s="13"/>
      <c r="AS104" s="6"/>
      <c r="AT104" s="7"/>
      <c r="AU104" s="8"/>
      <c r="AV104" s="9"/>
      <c r="AX104" s="10"/>
      <c r="AY104" s="11"/>
      <c r="AZ104" s="12"/>
      <c r="BA104" s="13"/>
      <c r="BC104" s="6"/>
      <c r="BD104" s="7"/>
      <c r="BE104" s="8"/>
      <c r="BF104" s="9"/>
      <c r="BG104" s="4"/>
      <c r="BH104" s="46">
        <f t="shared" si="2"/>
        <v>0</v>
      </c>
      <c r="BI104" s="47">
        <f t="shared" si="3"/>
        <v>0</v>
      </c>
    </row>
    <row r="105" spans="1:61" x14ac:dyDescent="0.25">
      <c r="A105" s="42" t="s">
        <v>186</v>
      </c>
      <c r="B105" s="43">
        <v>6</v>
      </c>
      <c r="C105" s="42" t="s">
        <v>64</v>
      </c>
      <c r="D105" t="s">
        <v>51</v>
      </c>
      <c r="E105" s="6"/>
      <c r="F105" s="7"/>
      <c r="G105" s="8"/>
      <c r="H105" s="9"/>
      <c r="J105" s="10"/>
      <c r="K105" s="11"/>
      <c r="L105" s="12"/>
      <c r="M105" s="13"/>
      <c r="O105" s="6"/>
      <c r="P105" s="7"/>
      <c r="Q105" s="8"/>
      <c r="R105" s="9"/>
      <c r="T105" s="10"/>
      <c r="U105" s="11"/>
      <c r="V105" s="12"/>
      <c r="W105" s="13"/>
      <c r="Y105" s="6"/>
      <c r="Z105" s="7"/>
      <c r="AA105" s="8"/>
      <c r="AB105" s="9"/>
      <c r="AD105" s="10"/>
      <c r="AE105" s="11"/>
      <c r="AF105" s="12"/>
      <c r="AG105" s="13"/>
      <c r="AI105" s="6"/>
      <c r="AJ105" s="7"/>
      <c r="AK105" s="8"/>
      <c r="AL105" s="9"/>
      <c r="AN105" s="10"/>
      <c r="AO105" s="11"/>
      <c r="AP105" s="12"/>
      <c r="AQ105" s="13"/>
      <c r="AS105" s="6"/>
      <c r="AT105" s="7"/>
      <c r="AU105" s="8"/>
      <c r="AV105" s="9"/>
      <c r="AX105" s="10"/>
      <c r="AY105" s="11"/>
      <c r="AZ105" s="12"/>
      <c r="BA105" s="13"/>
      <c r="BC105" s="6"/>
      <c r="BD105" s="7"/>
      <c r="BE105" s="8"/>
      <c r="BF105" s="9"/>
      <c r="BG105" s="4"/>
      <c r="BH105" s="46">
        <f t="shared" si="2"/>
        <v>0</v>
      </c>
      <c r="BI105" s="47">
        <f t="shared" si="3"/>
        <v>0</v>
      </c>
    </row>
    <row r="106" spans="1:61" x14ac:dyDescent="0.25">
      <c r="A106" s="42" t="s">
        <v>185</v>
      </c>
      <c r="B106" s="43">
        <v>8</v>
      </c>
      <c r="C106" s="42" t="s">
        <v>64</v>
      </c>
      <c r="D106" t="s">
        <v>61</v>
      </c>
      <c r="E106" s="6"/>
      <c r="F106" s="7"/>
      <c r="G106" s="8"/>
      <c r="H106" s="9"/>
      <c r="J106" s="10"/>
      <c r="K106" s="11"/>
      <c r="L106" s="12"/>
      <c r="M106" s="13"/>
      <c r="O106" s="6"/>
      <c r="P106" s="7"/>
      <c r="Q106" s="8"/>
      <c r="R106" s="9"/>
      <c r="T106" s="10"/>
      <c r="U106" s="11"/>
      <c r="V106" s="12"/>
      <c r="W106" s="13"/>
      <c r="Y106" s="6"/>
      <c r="Z106" s="7"/>
      <c r="AA106" s="8"/>
      <c r="AB106" s="9"/>
      <c r="AD106" s="10"/>
      <c r="AE106" s="11"/>
      <c r="AF106" s="12"/>
      <c r="AG106" s="13"/>
      <c r="AI106" s="6"/>
      <c r="AJ106" s="7"/>
      <c r="AK106" s="8"/>
      <c r="AL106" s="9"/>
      <c r="AN106" s="10"/>
      <c r="AO106" s="11"/>
      <c r="AP106" s="12"/>
      <c r="AQ106" s="13"/>
      <c r="AS106" s="6"/>
      <c r="AT106" s="7"/>
      <c r="AU106" s="8"/>
      <c r="AV106" s="9"/>
      <c r="AX106" s="10"/>
      <c r="AY106" s="11"/>
      <c r="AZ106" s="12"/>
      <c r="BA106" s="13"/>
      <c r="BC106" s="6"/>
      <c r="BD106" s="7"/>
      <c r="BE106" s="8"/>
      <c r="BF106" s="9"/>
      <c r="BG106" s="4"/>
      <c r="BH106" s="46">
        <f t="shared" si="2"/>
        <v>0</v>
      </c>
      <c r="BI106" s="47">
        <f t="shared" si="3"/>
        <v>0</v>
      </c>
    </row>
    <row r="107" spans="1:61" x14ac:dyDescent="0.25">
      <c r="A107" s="42" t="s">
        <v>184</v>
      </c>
      <c r="B107" s="43">
        <v>8</v>
      </c>
      <c r="C107" s="42" t="s">
        <v>64</v>
      </c>
      <c r="D107" t="s">
        <v>61</v>
      </c>
      <c r="E107" s="6"/>
      <c r="F107" s="7"/>
      <c r="G107" s="8"/>
      <c r="H107" s="9"/>
      <c r="J107" s="10"/>
      <c r="K107" s="11"/>
      <c r="L107" s="12"/>
      <c r="M107" s="13"/>
      <c r="O107" s="6"/>
      <c r="P107" s="7"/>
      <c r="Q107" s="8"/>
      <c r="R107" s="9"/>
      <c r="T107" s="10"/>
      <c r="U107" s="11"/>
      <c r="V107" s="12"/>
      <c r="W107" s="13"/>
      <c r="Y107" s="6"/>
      <c r="Z107" s="7"/>
      <c r="AA107" s="8"/>
      <c r="AB107" s="9"/>
      <c r="AD107" s="10"/>
      <c r="AE107" s="11"/>
      <c r="AF107" s="12"/>
      <c r="AG107" s="13"/>
      <c r="AI107" s="6"/>
      <c r="AJ107" s="7"/>
      <c r="AK107" s="8"/>
      <c r="AL107" s="9"/>
      <c r="AN107" s="10"/>
      <c r="AO107" s="11"/>
      <c r="AP107" s="12"/>
      <c r="AQ107" s="13"/>
      <c r="AS107" s="6"/>
      <c r="AT107" s="7"/>
      <c r="AU107" s="8"/>
      <c r="AV107" s="9"/>
      <c r="AX107" s="10"/>
      <c r="AY107" s="11"/>
      <c r="AZ107" s="12"/>
      <c r="BA107" s="13"/>
      <c r="BC107" s="6"/>
      <c r="BD107" s="7"/>
      <c r="BE107" s="8"/>
      <c r="BF107" s="9"/>
      <c r="BG107" s="4"/>
      <c r="BH107" s="46">
        <f t="shared" si="2"/>
        <v>0</v>
      </c>
      <c r="BI107" s="47">
        <f t="shared" si="3"/>
        <v>0</v>
      </c>
    </row>
    <row r="108" spans="1:61" x14ac:dyDescent="0.25">
      <c r="A108" s="42" t="s">
        <v>183</v>
      </c>
      <c r="B108" s="43">
        <v>8</v>
      </c>
      <c r="C108" s="42" t="s">
        <v>64</v>
      </c>
      <c r="D108" t="s">
        <v>61</v>
      </c>
      <c r="E108" s="6"/>
      <c r="F108" s="7"/>
      <c r="G108" s="8"/>
      <c r="H108" s="9"/>
      <c r="J108" s="10"/>
      <c r="K108" s="11"/>
      <c r="L108" s="12"/>
      <c r="M108" s="13"/>
      <c r="O108" s="6"/>
      <c r="P108" s="7"/>
      <c r="Q108" s="8"/>
      <c r="R108" s="9"/>
      <c r="T108" s="10"/>
      <c r="U108" s="11"/>
      <c r="V108" s="12"/>
      <c r="W108" s="13"/>
      <c r="Y108" s="6"/>
      <c r="Z108" s="7"/>
      <c r="AA108" s="8"/>
      <c r="AB108" s="9"/>
      <c r="AD108" s="10"/>
      <c r="AE108" s="11"/>
      <c r="AF108" s="12"/>
      <c r="AG108" s="13"/>
      <c r="AI108" s="6"/>
      <c r="AJ108" s="7"/>
      <c r="AK108" s="8"/>
      <c r="AL108" s="9"/>
      <c r="AN108" s="10"/>
      <c r="AO108" s="11"/>
      <c r="AP108" s="12"/>
      <c r="AQ108" s="13"/>
      <c r="AS108" s="6"/>
      <c r="AT108" s="7"/>
      <c r="AU108" s="8"/>
      <c r="AV108" s="9"/>
      <c r="AX108" s="10"/>
      <c r="AY108" s="11"/>
      <c r="AZ108" s="12"/>
      <c r="BA108" s="13"/>
      <c r="BC108" s="6"/>
      <c r="BD108" s="7"/>
      <c r="BE108" s="8"/>
      <c r="BF108" s="9"/>
      <c r="BG108" s="4"/>
      <c r="BH108" s="46">
        <f t="shared" si="2"/>
        <v>0</v>
      </c>
      <c r="BI108" s="47">
        <f t="shared" si="3"/>
        <v>0</v>
      </c>
    </row>
    <row r="109" spans="1:61" x14ac:dyDescent="0.25">
      <c r="A109" s="42" t="s">
        <v>169</v>
      </c>
      <c r="B109" s="43">
        <v>8</v>
      </c>
      <c r="C109" s="42" t="s">
        <v>64</v>
      </c>
      <c r="D109" t="s">
        <v>61</v>
      </c>
      <c r="E109" s="6"/>
      <c r="F109" s="7"/>
      <c r="G109" s="8"/>
      <c r="H109" s="9"/>
      <c r="J109" s="10"/>
      <c r="K109" s="11"/>
      <c r="L109" s="12"/>
      <c r="M109" s="13"/>
      <c r="O109" s="6"/>
      <c r="P109" s="7"/>
      <c r="Q109" s="8"/>
      <c r="R109" s="9"/>
      <c r="T109" s="10"/>
      <c r="U109" s="11"/>
      <c r="V109" s="12"/>
      <c r="W109" s="13"/>
      <c r="Y109" s="6"/>
      <c r="Z109" s="7"/>
      <c r="AA109" s="8"/>
      <c r="AB109" s="9"/>
      <c r="AD109" s="10"/>
      <c r="AE109" s="11"/>
      <c r="AF109" s="12"/>
      <c r="AG109" s="13"/>
      <c r="AI109" s="6"/>
      <c r="AJ109" s="7"/>
      <c r="AK109" s="8"/>
      <c r="AL109" s="9"/>
      <c r="AN109" s="10"/>
      <c r="AO109" s="11"/>
      <c r="AP109" s="12"/>
      <c r="AQ109" s="13"/>
      <c r="AS109" s="6"/>
      <c r="AT109" s="7"/>
      <c r="AU109" s="8"/>
      <c r="AV109" s="9"/>
      <c r="AX109" s="10"/>
      <c r="AY109" s="11"/>
      <c r="AZ109" s="12"/>
      <c r="BA109" s="13"/>
      <c r="BC109" s="6"/>
      <c r="BD109" s="7"/>
      <c r="BE109" s="8"/>
      <c r="BF109" s="9"/>
      <c r="BG109" s="4"/>
      <c r="BH109" s="46">
        <f t="shared" si="2"/>
        <v>0</v>
      </c>
      <c r="BI109" s="47">
        <f t="shared" si="3"/>
        <v>0</v>
      </c>
    </row>
    <row r="110" spans="1:61" x14ac:dyDescent="0.25">
      <c r="A110" s="42" t="s">
        <v>182</v>
      </c>
      <c r="B110" s="43">
        <v>8</v>
      </c>
      <c r="C110" s="42" t="s">
        <v>64</v>
      </c>
      <c r="D110" t="s">
        <v>61</v>
      </c>
      <c r="E110" s="6"/>
      <c r="F110" s="7"/>
      <c r="G110" s="8"/>
      <c r="H110" s="9"/>
      <c r="J110" s="10"/>
      <c r="K110" s="11"/>
      <c r="L110" s="12"/>
      <c r="M110" s="13"/>
      <c r="O110" s="6"/>
      <c r="P110" s="7"/>
      <c r="Q110" s="8"/>
      <c r="R110" s="9"/>
      <c r="T110" s="10"/>
      <c r="U110" s="11"/>
      <c r="V110" s="12"/>
      <c r="W110" s="13"/>
      <c r="Y110" s="6"/>
      <c r="Z110" s="7"/>
      <c r="AA110" s="8"/>
      <c r="AB110" s="9"/>
      <c r="AD110" s="10"/>
      <c r="AE110" s="11"/>
      <c r="AF110" s="12"/>
      <c r="AG110" s="13"/>
      <c r="AI110" s="6"/>
      <c r="AJ110" s="7"/>
      <c r="AK110" s="8"/>
      <c r="AL110" s="9"/>
      <c r="AN110" s="10"/>
      <c r="AO110" s="11"/>
      <c r="AP110" s="12"/>
      <c r="AQ110" s="13"/>
      <c r="AS110" s="6"/>
      <c r="AT110" s="7"/>
      <c r="AU110" s="8"/>
      <c r="AV110" s="9"/>
      <c r="AX110" s="10"/>
      <c r="AY110" s="11"/>
      <c r="AZ110" s="12"/>
      <c r="BA110" s="13"/>
      <c r="BC110" s="6"/>
      <c r="BD110" s="7"/>
      <c r="BE110" s="8"/>
      <c r="BF110" s="9"/>
      <c r="BG110" s="4"/>
      <c r="BH110" s="46">
        <f t="shared" si="2"/>
        <v>0</v>
      </c>
      <c r="BI110" s="47">
        <f t="shared" si="3"/>
        <v>0</v>
      </c>
    </row>
    <row r="111" spans="1:61" x14ac:dyDescent="0.25">
      <c r="A111" s="42" t="s">
        <v>181</v>
      </c>
      <c r="B111" s="43">
        <v>9</v>
      </c>
      <c r="C111" s="42" t="s">
        <v>64</v>
      </c>
      <c r="D111" t="s">
        <v>61</v>
      </c>
      <c r="E111" s="6"/>
      <c r="F111" s="7"/>
      <c r="G111" s="8"/>
      <c r="H111" s="9"/>
      <c r="J111" s="10"/>
      <c r="K111" s="11"/>
      <c r="L111" s="12"/>
      <c r="M111" s="13"/>
      <c r="O111" s="6"/>
      <c r="P111" s="7"/>
      <c r="Q111" s="8"/>
      <c r="R111" s="9"/>
      <c r="T111" s="10"/>
      <c r="U111" s="11"/>
      <c r="V111" s="12"/>
      <c r="W111" s="13"/>
      <c r="Y111" s="6"/>
      <c r="Z111" s="7"/>
      <c r="AA111" s="8"/>
      <c r="AB111" s="9"/>
      <c r="AD111" s="10"/>
      <c r="AE111" s="11"/>
      <c r="AF111" s="12"/>
      <c r="AG111" s="13"/>
      <c r="AI111" s="6"/>
      <c r="AJ111" s="7"/>
      <c r="AK111" s="8"/>
      <c r="AL111" s="9"/>
      <c r="AN111" s="10"/>
      <c r="AO111" s="11"/>
      <c r="AP111" s="12"/>
      <c r="AQ111" s="13"/>
      <c r="AS111" s="6"/>
      <c r="AT111" s="7"/>
      <c r="AU111" s="8"/>
      <c r="AV111" s="9"/>
      <c r="AX111" s="10"/>
      <c r="AY111" s="11"/>
      <c r="AZ111" s="12"/>
      <c r="BA111" s="13"/>
      <c r="BC111" s="6"/>
      <c r="BD111" s="7"/>
      <c r="BE111" s="8"/>
      <c r="BF111" s="9"/>
      <c r="BG111" s="4"/>
      <c r="BH111" s="46">
        <f t="shared" si="2"/>
        <v>0</v>
      </c>
      <c r="BI111" s="47">
        <f t="shared" si="3"/>
        <v>0</v>
      </c>
    </row>
    <row r="112" spans="1:61" x14ac:dyDescent="0.25">
      <c r="A112" s="42" t="s">
        <v>180</v>
      </c>
      <c r="B112" s="43">
        <v>9</v>
      </c>
      <c r="C112" s="42" t="s">
        <v>64</v>
      </c>
      <c r="D112" t="s">
        <v>61</v>
      </c>
      <c r="E112" s="6"/>
      <c r="F112" s="7"/>
      <c r="G112" s="8"/>
      <c r="H112" s="9"/>
      <c r="J112" s="10"/>
      <c r="K112" s="11"/>
      <c r="L112" s="12"/>
      <c r="M112" s="13"/>
      <c r="O112" s="6"/>
      <c r="P112" s="7"/>
      <c r="Q112" s="8"/>
      <c r="R112" s="9"/>
      <c r="T112" s="10"/>
      <c r="U112" s="11"/>
      <c r="V112" s="12"/>
      <c r="W112" s="13"/>
      <c r="Y112" s="6"/>
      <c r="Z112" s="7"/>
      <c r="AA112" s="8"/>
      <c r="AB112" s="9"/>
      <c r="AD112" s="10"/>
      <c r="AE112" s="11"/>
      <c r="AF112" s="12"/>
      <c r="AG112" s="13"/>
      <c r="AI112" s="6"/>
      <c r="AJ112" s="7"/>
      <c r="AK112" s="8"/>
      <c r="AL112" s="9"/>
      <c r="AN112" s="10"/>
      <c r="AO112" s="11"/>
      <c r="AP112" s="12"/>
      <c r="AQ112" s="13"/>
      <c r="AS112" s="6"/>
      <c r="AT112" s="7"/>
      <c r="AU112" s="8"/>
      <c r="AV112" s="9"/>
      <c r="AX112" s="10"/>
      <c r="AY112" s="11"/>
      <c r="AZ112" s="12"/>
      <c r="BA112" s="13"/>
      <c r="BC112" s="6"/>
      <c r="BD112" s="7"/>
      <c r="BE112" s="8"/>
      <c r="BF112" s="9"/>
      <c r="BG112" s="4"/>
      <c r="BH112" s="46">
        <f t="shared" si="2"/>
        <v>0</v>
      </c>
      <c r="BI112" s="47">
        <f t="shared" si="3"/>
        <v>0</v>
      </c>
    </row>
    <row r="113" spans="1:61" x14ac:dyDescent="0.25">
      <c r="A113" s="42" t="s">
        <v>179</v>
      </c>
      <c r="B113" s="43">
        <v>9</v>
      </c>
      <c r="C113" s="42" t="s">
        <v>64</v>
      </c>
      <c r="D113" t="s">
        <v>61</v>
      </c>
      <c r="E113" s="6"/>
      <c r="F113" s="7"/>
      <c r="G113" s="8"/>
      <c r="H113" s="9"/>
      <c r="J113" s="10"/>
      <c r="K113" s="11"/>
      <c r="L113" s="12"/>
      <c r="M113" s="13"/>
      <c r="O113" s="6"/>
      <c r="P113" s="7"/>
      <c r="Q113" s="8"/>
      <c r="R113" s="9"/>
      <c r="T113" s="10"/>
      <c r="U113" s="11"/>
      <c r="V113" s="12"/>
      <c r="W113" s="13"/>
      <c r="Y113" s="6"/>
      <c r="Z113" s="7"/>
      <c r="AA113" s="8"/>
      <c r="AB113" s="9"/>
      <c r="AD113" s="10"/>
      <c r="AE113" s="11"/>
      <c r="AF113" s="12"/>
      <c r="AG113" s="13"/>
      <c r="AI113" s="6"/>
      <c r="AJ113" s="7"/>
      <c r="AK113" s="8"/>
      <c r="AL113" s="9"/>
      <c r="AN113" s="10"/>
      <c r="AO113" s="11"/>
      <c r="AP113" s="12"/>
      <c r="AQ113" s="13"/>
      <c r="AS113" s="6"/>
      <c r="AT113" s="7"/>
      <c r="AU113" s="8"/>
      <c r="AV113" s="9"/>
      <c r="AX113" s="10"/>
      <c r="AY113" s="11"/>
      <c r="AZ113" s="12"/>
      <c r="BA113" s="13"/>
      <c r="BC113" s="6"/>
      <c r="BD113" s="7"/>
      <c r="BE113" s="8"/>
      <c r="BF113" s="9"/>
      <c r="BG113" s="4"/>
      <c r="BH113" s="46">
        <f t="shared" si="2"/>
        <v>0</v>
      </c>
      <c r="BI113" s="47">
        <f t="shared" si="3"/>
        <v>0</v>
      </c>
    </row>
    <row r="114" spans="1:61" x14ac:dyDescent="0.25">
      <c r="A114" s="42" t="s">
        <v>178</v>
      </c>
      <c r="B114" s="43">
        <v>8</v>
      </c>
      <c r="C114" s="42" t="s">
        <v>64</v>
      </c>
      <c r="D114" t="s">
        <v>57</v>
      </c>
      <c r="E114" s="6"/>
      <c r="F114" s="7"/>
      <c r="G114" s="8"/>
      <c r="H114" s="9"/>
      <c r="J114" s="10"/>
      <c r="K114" s="11"/>
      <c r="L114" s="12"/>
      <c r="M114" s="13"/>
      <c r="O114" s="6"/>
      <c r="P114" s="7"/>
      <c r="Q114" s="8"/>
      <c r="R114" s="9"/>
      <c r="T114" s="10"/>
      <c r="U114" s="11"/>
      <c r="V114" s="12"/>
      <c r="W114" s="13"/>
      <c r="Y114" s="6"/>
      <c r="Z114" s="7"/>
      <c r="AA114" s="8"/>
      <c r="AB114" s="9"/>
      <c r="AD114" s="10"/>
      <c r="AE114" s="11"/>
      <c r="AF114" s="12"/>
      <c r="AG114" s="13"/>
      <c r="AI114" s="6"/>
      <c r="AJ114" s="7"/>
      <c r="AK114" s="8"/>
      <c r="AL114" s="9"/>
      <c r="AN114" s="10"/>
      <c r="AO114" s="11"/>
      <c r="AP114" s="12"/>
      <c r="AQ114" s="13"/>
      <c r="AS114" s="6"/>
      <c r="AT114" s="7"/>
      <c r="AU114" s="8"/>
      <c r="AV114" s="9"/>
      <c r="AX114" s="10"/>
      <c r="AY114" s="11"/>
      <c r="AZ114" s="12"/>
      <c r="BA114" s="13"/>
      <c r="BC114" s="6"/>
      <c r="BD114" s="7"/>
      <c r="BE114" s="8"/>
      <c r="BF114" s="9"/>
      <c r="BG114" s="4"/>
      <c r="BH114" s="46">
        <f t="shared" si="2"/>
        <v>0</v>
      </c>
      <c r="BI114" s="47">
        <f t="shared" si="3"/>
        <v>0</v>
      </c>
    </row>
    <row r="115" spans="1:61" x14ac:dyDescent="0.25">
      <c r="A115" s="42" t="s">
        <v>177</v>
      </c>
      <c r="B115" s="43">
        <v>8</v>
      </c>
      <c r="C115" s="42" t="s">
        <v>64</v>
      </c>
      <c r="D115" t="s">
        <v>48</v>
      </c>
      <c r="E115" s="6"/>
      <c r="F115" s="7"/>
      <c r="G115" s="8"/>
      <c r="H115" s="9"/>
      <c r="J115" s="10"/>
      <c r="K115" s="11"/>
      <c r="L115" s="12"/>
      <c r="M115" s="13"/>
      <c r="O115" s="6"/>
      <c r="P115" s="7"/>
      <c r="Q115" s="8"/>
      <c r="R115" s="9"/>
      <c r="T115" s="10"/>
      <c r="U115" s="11"/>
      <c r="V115" s="12"/>
      <c r="W115" s="13"/>
      <c r="Y115" s="6"/>
      <c r="Z115" s="7"/>
      <c r="AA115" s="8"/>
      <c r="AB115" s="9"/>
      <c r="AD115" s="10"/>
      <c r="AE115" s="11"/>
      <c r="AF115" s="12"/>
      <c r="AG115" s="13"/>
      <c r="AI115" s="6"/>
      <c r="AJ115" s="7"/>
      <c r="AK115" s="8"/>
      <c r="AL115" s="9"/>
      <c r="AN115" s="10"/>
      <c r="AO115" s="11"/>
      <c r="AP115" s="12"/>
      <c r="AQ115" s="13"/>
      <c r="AS115" s="6"/>
      <c r="AT115" s="7"/>
      <c r="AU115" s="8"/>
      <c r="AV115" s="9"/>
      <c r="AX115" s="10"/>
      <c r="AY115" s="11"/>
      <c r="AZ115" s="12"/>
      <c r="BA115" s="13"/>
      <c r="BC115" s="6"/>
      <c r="BD115" s="7"/>
      <c r="BE115" s="8"/>
      <c r="BF115" s="9"/>
      <c r="BG115" s="4"/>
      <c r="BH115" s="46">
        <f t="shared" si="2"/>
        <v>0</v>
      </c>
      <c r="BI115" s="47">
        <f t="shared" si="3"/>
        <v>0</v>
      </c>
    </row>
    <row r="116" spans="1:61" x14ac:dyDescent="0.25">
      <c r="A116" s="42" t="s">
        <v>176</v>
      </c>
      <c r="B116" s="43">
        <v>9</v>
      </c>
      <c r="C116" s="42" t="s">
        <v>64</v>
      </c>
      <c r="D116" t="s">
        <v>48</v>
      </c>
      <c r="E116" s="6"/>
      <c r="F116" s="7"/>
      <c r="G116" s="8"/>
      <c r="H116" s="9"/>
      <c r="J116" s="10"/>
      <c r="K116" s="11"/>
      <c r="L116" s="12"/>
      <c r="M116" s="13"/>
      <c r="O116" s="6"/>
      <c r="P116" s="7"/>
      <c r="Q116" s="8"/>
      <c r="R116" s="9"/>
      <c r="T116" s="10"/>
      <c r="U116" s="11"/>
      <c r="V116" s="12"/>
      <c r="W116" s="13"/>
      <c r="Y116" s="6"/>
      <c r="Z116" s="7"/>
      <c r="AA116" s="8"/>
      <c r="AB116" s="9"/>
      <c r="AD116" s="10"/>
      <c r="AE116" s="11"/>
      <c r="AF116" s="12"/>
      <c r="AG116" s="13"/>
      <c r="AI116" s="6"/>
      <c r="AJ116" s="7"/>
      <c r="AK116" s="8"/>
      <c r="AL116" s="9"/>
      <c r="AN116" s="10"/>
      <c r="AO116" s="11"/>
      <c r="AP116" s="12"/>
      <c r="AQ116" s="13"/>
      <c r="AS116" s="6"/>
      <c r="AT116" s="7"/>
      <c r="AU116" s="8"/>
      <c r="AV116" s="9"/>
      <c r="AX116" s="10"/>
      <c r="AY116" s="11"/>
      <c r="AZ116" s="12"/>
      <c r="BA116" s="13"/>
      <c r="BC116" s="6"/>
      <c r="BD116" s="7"/>
      <c r="BE116" s="8"/>
      <c r="BF116" s="9"/>
      <c r="BG116" s="4"/>
      <c r="BH116" s="46">
        <f t="shared" si="2"/>
        <v>0</v>
      </c>
      <c r="BI116" s="47">
        <f t="shared" si="3"/>
        <v>0</v>
      </c>
    </row>
    <row r="117" spans="1:61" x14ac:dyDescent="0.25">
      <c r="A117" s="42" t="s">
        <v>175</v>
      </c>
      <c r="B117" s="43">
        <v>1</v>
      </c>
      <c r="C117" s="42" t="s">
        <v>64</v>
      </c>
      <c r="D117" t="s">
        <v>62</v>
      </c>
      <c r="E117" s="6"/>
      <c r="F117" s="7"/>
      <c r="G117" s="8"/>
      <c r="H117" s="9"/>
      <c r="J117" s="10"/>
      <c r="K117" s="11"/>
      <c r="L117" s="12"/>
      <c r="M117" s="13"/>
      <c r="O117" s="6"/>
      <c r="P117" s="7"/>
      <c r="Q117" s="8"/>
      <c r="R117" s="9"/>
      <c r="T117" s="10"/>
      <c r="U117" s="11"/>
      <c r="V117" s="12"/>
      <c r="W117" s="13"/>
      <c r="Y117" s="6"/>
      <c r="Z117" s="7"/>
      <c r="AA117" s="8"/>
      <c r="AB117" s="9"/>
      <c r="AD117" s="10"/>
      <c r="AE117" s="11"/>
      <c r="AF117" s="12"/>
      <c r="AG117" s="13"/>
      <c r="AI117" s="6"/>
      <c r="AJ117" s="7"/>
      <c r="AK117" s="8"/>
      <c r="AL117" s="9"/>
      <c r="AN117" s="10"/>
      <c r="AO117" s="11"/>
      <c r="AP117" s="12"/>
      <c r="AQ117" s="13"/>
      <c r="AS117" s="6"/>
      <c r="AT117" s="7"/>
      <c r="AU117" s="8"/>
      <c r="AV117" s="9"/>
      <c r="AX117" s="10"/>
      <c r="AY117" s="11"/>
      <c r="AZ117" s="12"/>
      <c r="BA117" s="13"/>
      <c r="BC117" s="6"/>
      <c r="BD117" s="7"/>
      <c r="BE117" s="8"/>
      <c r="BF117" s="9"/>
      <c r="BG117" s="4"/>
      <c r="BH117" s="46">
        <f t="shared" si="2"/>
        <v>0</v>
      </c>
      <c r="BI117" s="47">
        <f t="shared" si="3"/>
        <v>0</v>
      </c>
    </row>
    <row r="118" spans="1:61" x14ac:dyDescent="0.25">
      <c r="A118" s="42" t="s">
        <v>174</v>
      </c>
      <c r="B118" s="42" t="s">
        <v>53</v>
      </c>
      <c r="C118" s="42" t="s">
        <v>64</v>
      </c>
      <c r="D118" t="s">
        <v>54</v>
      </c>
      <c r="E118" s="6"/>
      <c r="F118" s="7"/>
      <c r="G118" s="8"/>
      <c r="H118" s="9"/>
      <c r="J118" s="10"/>
      <c r="K118" s="11"/>
      <c r="L118" s="12"/>
      <c r="M118" s="13"/>
      <c r="O118" s="6"/>
      <c r="P118" s="7"/>
      <c r="Q118" s="8"/>
      <c r="R118" s="9"/>
      <c r="T118" s="10"/>
      <c r="U118" s="11"/>
      <c r="V118" s="12"/>
      <c r="W118" s="13"/>
      <c r="Y118" s="6"/>
      <c r="Z118" s="7"/>
      <c r="AA118" s="8"/>
      <c r="AB118" s="9"/>
      <c r="AD118" s="10"/>
      <c r="AE118" s="11"/>
      <c r="AF118" s="12"/>
      <c r="AG118" s="13"/>
      <c r="AI118" s="6"/>
      <c r="AJ118" s="7"/>
      <c r="AK118" s="8"/>
      <c r="AL118" s="9"/>
      <c r="AN118" s="10"/>
      <c r="AO118" s="11"/>
      <c r="AP118" s="12"/>
      <c r="AQ118" s="13"/>
      <c r="AS118" s="6"/>
      <c r="AT118" s="7"/>
      <c r="AU118" s="8"/>
      <c r="AV118" s="9"/>
      <c r="AX118" s="10"/>
      <c r="AY118" s="11"/>
      <c r="AZ118" s="12"/>
      <c r="BA118" s="13"/>
      <c r="BC118" s="6"/>
      <c r="BD118" s="7"/>
      <c r="BE118" s="8"/>
      <c r="BF118" s="9"/>
      <c r="BG118" s="4"/>
      <c r="BH118" s="46">
        <f t="shared" si="2"/>
        <v>0</v>
      </c>
      <c r="BI118" s="47">
        <f t="shared" si="3"/>
        <v>0</v>
      </c>
    </row>
    <row r="119" spans="1:61" x14ac:dyDescent="0.25">
      <c r="A119" s="42" t="s">
        <v>173</v>
      </c>
      <c r="B119" s="42" t="s">
        <v>53</v>
      </c>
      <c r="C119" s="42" t="s">
        <v>64</v>
      </c>
      <c r="D119" t="s">
        <v>54</v>
      </c>
      <c r="E119" s="6"/>
      <c r="F119" s="7"/>
      <c r="G119" s="8"/>
      <c r="H119" s="9"/>
      <c r="J119" s="10"/>
      <c r="K119" s="11"/>
      <c r="L119" s="12"/>
      <c r="M119" s="13"/>
      <c r="O119" s="6"/>
      <c r="P119" s="7"/>
      <c r="Q119" s="8"/>
      <c r="R119" s="9"/>
      <c r="T119" s="10"/>
      <c r="U119" s="11"/>
      <c r="V119" s="12"/>
      <c r="W119" s="13"/>
      <c r="Y119" s="6"/>
      <c r="Z119" s="7"/>
      <c r="AA119" s="8"/>
      <c r="AB119" s="9"/>
      <c r="AD119" s="10"/>
      <c r="AE119" s="11"/>
      <c r="AF119" s="12"/>
      <c r="AG119" s="13"/>
      <c r="AI119" s="6"/>
      <c r="AJ119" s="7"/>
      <c r="AK119" s="8"/>
      <c r="AL119" s="9"/>
      <c r="AN119" s="10"/>
      <c r="AO119" s="11"/>
      <c r="AP119" s="12"/>
      <c r="AQ119" s="13"/>
      <c r="AS119" s="6"/>
      <c r="AT119" s="7"/>
      <c r="AU119" s="8"/>
      <c r="AV119" s="9"/>
      <c r="AX119" s="10"/>
      <c r="AY119" s="11"/>
      <c r="AZ119" s="12"/>
      <c r="BA119" s="13"/>
      <c r="BC119" s="6"/>
      <c r="BD119" s="7"/>
      <c r="BE119" s="8"/>
      <c r="BF119" s="9"/>
      <c r="BG119" s="4"/>
      <c r="BH119" s="46">
        <f t="shared" si="2"/>
        <v>0</v>
      </c>
      <c r="BI119" s="47">
        <f t="shared" si="3"/>
        <v>0</v>
      </c>
    </row>
    <row r="120" spans="1:61" x14ac:dyDescent="0.25">
      <c r="A120" s="42" t="s">
        <v>172</v>
      </c>
      <c r="B120" s="42" t="s">
        <v>53</v>
      </c>
      <c r="C120" s="42" t="s">
        <v>64</v>
      </c>
      <c r="D120" t="s">
        <v>54</v>
      </c>
      <c r="E120" s="6"/>
      <c r="F120" s="7"/>
      <c r="G120" s="8"/>
      <c r="H120" s="9"/>
      <c r="J120" s="10"/>
      <c r="K120" s="11"/>
      <c r="L120" s="12"/>
      <c r="M120" s="13"/>
      <c r="O120" s="6"/>
      <c r="P120" s="7"/>
      <c r="Q120" s="8"/>
      <c r="R120" s="9"/>
      <c r="T120" s="10"/>
      <c r="U120" s="11"/>
      <c r="V120" s="12"/>
      <c r="W120" s="13"/>
      <c r="Y120" s="6"/>
      <c r="Z120" s="7"/>
      <c r="AA120" s="8"/>
      <c r="AB120" s="9"/>
      <c r="AD120" s="10"/>
      <c r="AE120" s="11"/>
      <c r="AF120" s="12"/>
      <c r="AG120" s="13"/>
      <c r="AI120" s="6"/>
      <c r="AJ120" s="7"/>
      <c r="AK120" s="8"/>
      <c r="AL120" s="9"/>
      <c r="AN120" s="10"/>
      <c r="AO120" s="11"/>
      <c r="AP120" s="12"/>
      <c r="AQ120" s="13"/>
      <c r="AS120" s="6"/>
      <c r="AT120" s="7"/>
      <c r="AU120" s="8"/>
      <c r="AV120" s="9"/>
      <c r="AX120" s="10"/>
      <c r="AY120" s="11"/>
      <c r="AZ120" s="12"/>
      <c r="BA120" s="13"/>
      <c r="BC120" s="6"/>
      <c r="BD120" s="7"/>
      <c r="BE120" s="8"/>
      <c r="BF120" s="9"/>
      <c r="BG120" s="4"/>
      <c r="BH120" s="46">
        <f t="shared" si="2"/>
        <v>0</v>
      </c>
      <c r="BI120" s="47">
        <f t="shared" si="3"/>
        <v>0</v>
      </c>
    </row>
    <row r="121" spans="1:61" x14ac:dyDescent="0.25">
      <c r="E121" s="6"/>
      <c r="F121" s="7"/>
      <c r="G121" s="8"/>
      <c r="H121" s="9"/>
      <c r="J121" s="10"/>
      <c r="K121" s="11"/>
      <c r="L121" s="12"/>
      <c r="M121" s="13"/>
      <c r="O121" s="6"/>
      <c r="P121" s="7"/>
      <c r="Q121" s="8"/>
      <c r="R121" s="9"/>
      <c r="T121" s="10"/>
      <c r="U121" s="11"/>
      <c r="V121" s="12"/>
      <c r="W121" s="13"/>
      <c r="Y121" s="6"/>
      <c r="Z121" s="7"/>
      <c r="AA121" s="8"/>
      <c r="AB121" s="9"/>
      <c r="AD121" s="10"/>
      <c r="AE121" s="11"/>
      <c r="AF121" s="12"/>
      <c r="AG121" s="13"/>
      <c r="AI121" s="6"/>
      <c r="AJ121" s="7"/>
      <c r="AK121" s="8"/>
      <c r="AL121" s="9"/>
      <c r="AN121" s="10"/>
      <c r="AO121" s="11"/>
      <c r="AP121" s="12"/>
      <c r="AQ121" s="13"/>
      <c r="AS121" s="6"/>
      <c r="AT121" s="7"/>
      <c r="AU121" s="8"/>
      <c r="AV121" s="9"/>
      <c r="AX121" s="10"/>
      <c r="AY121" s="11"/>
      <c r="AZ121" s="12"/>
      <c r="BA121" s="13"/>
      <c r="BC121" s="6"/>
      <c r="BD121" s="7"/>
      <c r="BE121" s="8"/>
      <c r="BF121" s="9"/>
      <c r="BG121" s="4"/>
      <c r="BH121" s="46">
        <f t="shared" si="2"/>
        <v>0</v>
      </c>
      <c r="BI121" s="47">
        <f t="shared" si="3"/>
        <v>0</v>
      </c>
    </row>
    <row r="122" spans="1:61" x14ac:dyDescent="0.25">
      <c r="A122" s="40" t="s">
        <v>279</v>
      </c>
      <c r="B122" s="41">
        <v>2</v>
      </c>
      <c r="C122" s="40" t="s">
        <v>66</v>
      </c>
      <c r="D122" t="s">
        <v>52</v>
      </c>
      <c r="E122" s="6"/>
      <c r="F122" s="7"/>
      <c r="G122" s="8"/>
      <c r="H122" s="9"/>
      <c r="J122" s="10"/>
      <c r="K122" s="11"/>
      <c r="L122" s="12"/>
      <c r="M122" s="13"/>
      <c r="O122" s="6"/>
      <c r="P122" s="7"/>
      <c r="Q122" s="8"/>
      <c r="R122" s="9"/>
      <c r="T122" s="10"/>
      <c r="U122" s="11"/>
      <c r="V122" s="12"/>
      <c r="W122" s="13"/>
      <c r="Y122" s="6"/>
      <c r="Z122" s="7"/>
      <c r="AA122" s="8"/>
      <c r="AB122" s="9"/>
      <c r="AD122" s="10"/>
      <c r="AE122" s="11"/>
      <c r="AF122" s="12"/>
      <c r="AG122" s="13"/>
      <c r="AI122" s="6"/>
      <c r="AJ122" s="7"/>
      <c r="AK122" s="8"/>
      <c r="AL122" s="9"/>
      <c r="AN122" s="10"/>
      <c r="AO122" s="11"/>
      <c r="AP122" s="12"/>
      <c r="AQ122" s="13"/>
      <c r="AS122" s="6"/>
      <c r="AT122" s="7"/>
      <c r="AU122" s="8"/>
      <c r="AV122" s="9"/>
      <c r="AX122" s="10"/>
      <c r="AY122" s="11"/>
      <c r="AZ122" s="12"/>
      <c r="BA122" s="13"/>
      <c r="BC122" s="6"/>
      <c r="BD122" s="7"/>
      <c r="BE122" s="8"/>
      <c r="BF122" s="9"/>
      <c r="BG122" s="4"/>
      <c r="BH122" s="46">
        <f t="shared" si="2"/>
        <v>0</v>
      </c>
      <c r="BI122" s="47">
        <f t="shared" si="3"/>
        <v>0</v>
      </c>
    </row>
    <row r="123" spans="1:61" x14ac:dyDescent="0.25">
      <c r="A123" s="40" t="s">
        <v>280</v>
      </c>
      <c r="B123" s="41">
        <v>2</v>
      </c>
      <c r="C123" s="40" t="s">
        <v>66</v>
      </c>
      <c r="D123" t="s">
        <v>52</v>
      </c>
      <c r="E123" s="6"/>
      <c r="F123" s="7"/>
      <c r="G123" s="8"/>
      <c r="H123" s="9"/>
      <c r="J123" s="10"/>
      <c r="K123" s="11"/>
      <c r="L123" s="12"/>
      <c r="M123" s="13"/>
      <c r="O123" s="6"/>
      <c r="P123" s="7"/>
      <c r="Q123" s="8"/>
      <c r="R123" s="9"/>
      <c r="T123" s="10"/>
      <c r="U123" s="11"/>
      <c r="V123" s="12"/>
      <c r="W123" s="13"/>
      <c r="Y123" s="6"/>
      <c r="Z123" s="7"/>
      <c r="AA123" s="8"/>
      <c r="AB123" s="9"/>
      <c r="AD123" s="10"/>
      <c r="AE123" s="11"/>
      <c r="AF123" s="12"/>
      <c r="AG123" s="13"/>
      <c r="AI123" s="6"/>
      <c r="AJ123" s="7"/>
      <c r="AK123" s="8"/>
      <c r="AL123" s="9"/>
      <c r="AN123" s="10"/>
      <c r="AO123" s="11"/>
      <c r="AP123" s="12"/>
      <c r="AQ123" s="13"/>
      <c r="AS123" s="6"/>
      <c r="AT123" s="7"/>
      <c r="AU123" s="8"/>
      <c r="AV123" s="9"/>
      <c r="AX123" s="10"/>
      <c r="AY123" s="11"/>
      <c r="AZ123" s="12"/>
      <c r="BA123" s="13"/>
      <c r="BC123" s="6"/>
      <c r="BD123" s="7"/>
      <c r="BE123" s="8"/>
      <c r="BF123" s="9"/>
      <c r="BG123" s="4"/>
      <c r="BH123" s="46">
        <f t="shared" si="2"/>
        <v>0</v>
      </c>
      <c r="BI123" s="47">
        <f t="shared" si="3"/>
        <v>0</v>
      </c>
    </row>
    <row r="124" spans="1:61" x14ac:dyDescent="0.25">
      <c r="A124" s="40" t="s">
        <v>281</v>
      </c>
      <c r="B124" s="41">
        <v>2</v>
      </c>
      <c r="C124" s="40" t="s">
        <v>66</v>
      </c>
      <c r="D124" t="s">
        <v>52</v>
      </c>
      <c r="E124" s="6"/>
      <c r="F124" s="7"/>
      <c r="G124" s="8"/>
      <c r="H124" s="9"/>
      <c r="J124" s="10"/>
      <c r="K124" s="11"/>
      <c r="L124" s="12"/>
      <c r="M124" s="13"/>
      <c r="O124" s="6"/>
      <c r="P124" s="7"/>
      <c r="Q124" s="8"/>
      <c r="R124" s="9"/>
      <c r="T124" s="10"/>
      <c r="U124" s="11"/>
      <c r="V124" s="12"/>
      <c r="W124" s="13"/>
      <c r="Y124" s="6"/>
      <c r="Z124" s="7"/>
      <c r="AA124" s="8"/>
      <c r="AB124" s="9"/>
      <c r="AD124" s="10"/>
      <c r="AE124" s="11"/>
      <c r="AF124" s="12"/>
      <c r="AG124" s="13"/>
      <c r="AI124" s="6"/>
      <c r="AJ124" s="7"/>
      <c r="AK124" s="8"/>
      <c r="AL124" s="9"/>
      <c r="AN124" s="10"/>
      <c r="AO124" s="11"/>
      <c r="AP124" s="12"/>
      <c r="AQ124" s="13"/>
      <c r="AS124" s="6"/>
      <c r="AT124" s="7"/>
      <c r="AU124" s="8"/>
      <c r="AV124" s="9"/>
      <c r="AX124" s="10"/>
      <c r="AY124" s="11"/>
      <c r="AZ124" s="12"/>
      <c r="BA124" s="13"/>
      <c r="BC124" s="6"/>
      <c r="BD124" s="7"/>
      <c r="BE124" s="8"/>
      <c r="BF124" s="9"/>
      <c r="BG124" s="4"/>
      <c r="BH124" s="46">
        <f t="shared" si="2"/>
        <v>0</v>
      </c>
      <c r="BI124" s="47">
        <f t="shared" si="3"/>
        <v>0</v>
      </c>
    </row>
    <row r="125" spans="1:61" x14ac:dyDescent="0.25">
      <c r="A125" s="40" t="s">
        <v>282</v>
      </c>
      <c r="B125" s="41">
        <v>2</v>
      </c>
      <c r="C125" s="40" t="s">
        <v>66</v>
      </c>
      <c r="D125" t="s">
        <v>52</v>
      </c>
      <c r="E125" s="6"/>
      <c r="F125" s="7"/>
      <c r="G125" s="8"/>
      <c r="H125" s="9"/>
      <c r="J125" s="10"/>
      <c r="K125" s="11"/>
      <c r="L125" s="12"/>
      <c r="M125" s="13"/>
      <c r="O125" s="6"/>
      <c r="P125" s="7"/>
      <c r="Q125" s="8"/>
      <c r="R125" s="9"/>
      <c r="T125" s="10"/>
      <c r="U125" s="11"/>
      <c r="V125" s="12"/>
      <c r="W125" s="13"/>
      <c r="Y125" s="6"/>
      <c r="Z125" s="7"/>
      <c r="AA125" s="8"/>
      <c r="AB125" s="9"/>
      <c r="AD125" s="10"/>
      <c r="AE125" s="11"/>
      <c r="AF125" s="12"/>
      <c r="AG125" s="13"/>
      <c r="AI125" s="6"/>
      <c r="AJ125" s="7"/>
      <c r="AK125" s="8"/>
      <c r="AL125" s="9"/>
      <c r="AN125" s="10"/>
      <c r="AO125" s="11"/>
      <c r="AP125" s="12"/>
      <c r="AQ125" s="13"/>
      <c r="AS125" s="6"/>
      <c r="AT125" s="7"/>
      <c r="AU125" s="8"/>
      <c r="AV125" s="9"/>
      <c r="AX125" s="10"/>
      <c r="AY125" s="11"/>
      <c r="AZ125" s="12"/>
      <c r="BA125" s="13"/>
      <c r="BC125" s="6"/>
      <c r="BD125" s="7"/>
      <c r="BE125" s="8"/>
      <c r="BF125" s="9"/>
      <c r="BG125" s="4"/>
      <c r="BH125" s="46">
        <f t="shared" si="2"/>
        <v>0</v>
      </c>
      <c r="BI125" s="47">
        <f t="shared" si="3"/>
        <v>0</v>
      </c>
    </row>
    <row r="126" spans="1:61" x14ac:dyDescent="0.25">
      <c r="A126" s="40" t="s">
        <v>215</v>
      </c>
      <c r="B126" s="41">
        <v>2</v>
      </c>
      <c r="C126" s="40" t="s">
        <v>66</v>
      </c>
      <c r="D126" t="s">
        <v>52</v>
      </c>
      <c r="E126" s="6"/>
      <c r="F126" s="7"/>
      <c r="G126" s="8"/>
      <c r="H126" s="9"/>
      <c r="J126" s="10"/>
      <c r="K126" s="11"/>
      <c r="L126" s="12"/>
      <c r="M126" s="13"/>
      <c r="O126" s="6"/>
      <c r="P126" s="7"/>
      <c r="Q126" s="8"/>
      <c r="R126" s="9"/>
      <c r="T126" s="10"/>
      <c r="U126" s="11"/>
      <c r="V126" s="12"/>
      <c r="W126" s="13"/>
      <c r="Y126" s="6"/>
      <c r="Z126" s="7"/>
      <c r="AA126" s="8"/>
      <c r="AB126" s="9"/>
      <c r="AD126" s="10"/>
      <c r="AE126" s="11"/>
      <c r="AF126" s="12"/>
      <c r="AG126" s="13"/>
      <c r="AI126" s="6"/>
      <c r="AJ126" s="7"/>
      <c r="AK126" s="8"/>
      <c r="AL126" s="9"/>
      <c r="AN126" s="10"/>
      <c r="AO126" s="11"/>
      <c r="AP126" s="12"/>
      <c r="AQ126" s="13"/>
      <c r="AS126" s="6"/>
      <c r="AT126" s="7"/>
      <c r="AU126" s="8"/>
      <c r="AV126" s="9"/>
      <c r="AX126" s="10"/>
      <c r="AY126" s="11"/>
      <c r="AZ126" s="12"/>
      <c r="BA126" s="13"/>
      <c r="BC126" s="6"/>
      <c r="BD126" s="7"/>
      <c r="BE126" s="8"/>
      <c r="BF126" s="9"/>
      <c r="BG126" s="4"/>
      <c r="BH126" s="46">
        <f t="shared" si="2"/>
        <v>0</v>
      </c>
      <c r="BI126" s="47">
        <f t="shared" si="3"/>
        <v>0</v>
      </c>
    </row>
    <row r="127" spans="1:61" x14ac:dyDescent="0.25">
      <c r="A127" s="40" t="s">
        <v>327</v>
      </c>
      <c r="B127" s="41">
        <v>2</v>
      </c>
      <c r="C127" s="40" t="s">
        <v>66</v>
      </c>
      <c r="D127" t="s">
        <v>52</v>
      </c>
      <c r="E127" s="6"/>
      <c r="F127" s="7"/>
      <c r="G127" s="8"/>
      <c r="H127" s="9"/>
      <c r="J127" s="10"/>
      <c r="K127" s="11"/>
      <c r="L127" s="12"/>
      <c r="M127" s="13"/>
      <c r="O127" s="6"/>
      <c r="P127" s="7"/>
      <c r="Q127" s="8"/>
      <c r="R127" s="9"/>
      <c r="T127" s="10"/>
      <c r="U127" s="11"/>
      <c r="V127" s="12"/>
      <c r="W127" s="13"/>
      <c r="Y127" s="6"/>
      <c r="Z127" s="7"/>
      <c r="AA127" s="8"/>
      <c r="AB127" s="9"/>
      <c r="AD127" s="10"/>
      <c r="AE127" s="11"/>
      <c r="AF127" s="12"/>
      <c r="AG127" s="13"/>
      <c r="AI127" s="6"/>
      <c r="AJ127" s="7"/>
      <c r="AK127" s="8"/>
      <c r="AL127" s="9"/>
      <c r="AN127" s="10"/>
      <c r="AO127" s="11"/>
      <c r="AP127" s="12"/>
      <c r="AQ127" s="13"/>
      <c r="AS127" s="6"/>
      <c r="AT127" s="7"/>
      <c r="AU127" s="8"/>
      <c r="AV127" s="9"/>
      <c r="AX127" s="10"/>
      <c r="AY127" s="11"/>
      <c r="AZ127" s="12"/>
      <c r="BA127" s="13"/>
      <c r="BC127" s="6"/>
      <c r="BD127" s="7"/>
      <c r="BE127" s="8"/>
      <c r="BF127" s="9"/>
      <c r="BG127" s="4"/>
      <c r="BH127" s="46">
        <f t="shared" si="2"/>
        <v>0</v>
      </c>
      <c r="BI127" s="47">
        <f t="shared" si="3"/>
        <v>0</v>
      </c>
    </row>
    <row r="128" spans="1:61" x14ac:dyDescent="0.25">
      <c r="A128" s="40" t="s">
        <v>326</v>
      </c>
      <c r="B128" s="41">
        <v>10</v>
      </c>
      <c r="C128" s="40" t="s">
        <v>66</v>
      </c>
      <c r="D128" t="s">
        <v>59</v>
      </c>
      <c r="E128" s="6"/>
      <c r="F128" s="7"/>
      <c r="G128" s="8"/>
      <c r="H128" s="9"/>
      <c r="J128" s="10"/>
      <c r="K128" s="11"/>
      <c r="L128" s="12"/>
      <c r="M128" s="13"/>
      <c r="O128" s="6"/>
      <c r="P128" s="7"/>
      <c r="Q128" s="8"/>
      <c r="R128" s="9"/>
      <c r="T128" s="10"/>
      <c r="U128" s="11"/>
      <c r="V128" s="12"/>
      <c r="W128" s="13"/>
      <c r="Y128" s="6"/>
      <c r="Z128" s="7"/>
      <c r="AA128" s="8"/>
      <c r="AB128" s="9"/>
      <c r="AD128" s="10"/>
      <c r="AE128" s="11"/>
      <c r="AF128" s="12"/>
      <c r="AG128" s="13"/>
      <c r="AI128" s="6"/>
      <c r="AJ128" s="7"/>
      <c r="AK128" s="8"/>
      <c r="AL128" s="9"/>
      <c r="AN128" s="10"/>
      <c r="AO128" s="11"/>
      <c r="AP128" s="12"/>
      <c r="AQ128" s="13"/>
      <c r="AS128" s="6"/>
      <c r="AT128" s="7"/>
      <c r="AU128" s="8"/>
      <c r="AV128" s="9"/>
      <c r="AX128" s="10"/>
      <c r="AY128" s="11"/>
      <c r="AZ128" s="12"/>
      <c r="BA128" s="13"/>
      <c r="BC128" s="6"/>
      <c r="BD128" s="7"/>
      <c r="BE128" s="8"/>
      <c r="BF128" s="9"/>
      <c r="BG128" s="4"/>
      <c r="BH128" s="46">
        <f t="shared" si="2"/>
        <v>0</v>
      </c>
      <c r="BI128" s="47">
        <f t="shared" si="3"/>
        <v>0</v>
      </c>
    </row>
    <row r="129" spans="1:61" x14ac:dyDescent="0.25">
      <c r="A129" s="40" t="s">
        <v>328</v>
      </c>
      <c r="B129" s="41">
        <v>10</v>
      </c>
      <c r="C129" s="40" t="s">
        <v>66</v>
      </c>
      <c r="D129" t="s">
        <v>59</v>
      </c>
      <c r="E129" s="6"/>
      <c r="F129" s="7"/>
      <c r="G129" s="8"/>
      <c r="H129" s="9"/>
      <c r="J129" s="10"/>
      <c r="K129" s="11"/>
      <c r="L129" s="12"/>
      <c r="M129" s="13"/>
      <c r="O129" s="6"/>
      <c r="P129" s="7"/>
      <c r="Q129" s="8"/>
      <c r="R129" s="9"/>
      <c r="T129" s="10"/>
      <c r="U129" s="11"/>
      <c r="V129" s="12"/>
      <c r="W129" s="13"/>
      <c r="Y129" s="6"/>
      <c r="Z129" s="7"/>
      <c r="AA129" s="8"/>
      <c r="AB129" s="9"/>
      <c r="AD129" s="10"/>
      <c r="AE129" s="11"/>
      <c r="AF129" s="12"/>
      <c r="AG129" s="13"/>
      <c r="AI129" s="6"/>
      <c r="AJ129" s="7"/>
      <c r="AK129" s="8"/>
      <c r="AL129" s="9"/>
      <c r="AN129" s="10"/>
      <c r="AO129" s="11"/>
      <c r="AP129" s="12"/>
      <c r="AQ129" s="13"/>
      <c r="AS129" s="6"/>
      <c r="AT129" s="7"/>
      <c r="AU129" s="8"/>
      <c r="AV129" s="9"/>
      <c r="AX129" s="10"/>
      <c r="AY129" s="11"/>
      <c r="AZ129" s="12"/>
      <c r="BA129" s="13"/>
      <c r="BC129" s="6"/>
      <c r="BD129" s="7"/>
      <c r="BE129" s="8"/>
      <c r="BF129" s="9"/>
      <c r="BG129" s="4"/>
      <c r="BH129" s="46">
        <f t="shared" si="2"/>
        <v>0</v>
      </c>
      <c r="BI129" s="47">
        <f t="shared" si="3"/>
        <v>0</v>
      </c>
    </row>
    <row r="130" spans="1:61" x14ac:dyDescent="0.25">
      <c r="A130" s="40" t="s">
        <v>325</v>
      </c>
      <c r="B130" s="41">
        <v>3</v>
      </c>
      <c r="C130" s="40" t="s">
        <v>66</v>
      </c>
      <c r="D130" t="s">
        <v>56</v>
      </c>
      <c r="E130" s="6"/>
      <c r="F130" s="7"/>
      <c r="G130" s="8"/>
      <c r="H130" s="9"/>
      <c r="J130" s="10"/>
      <c r="K130" s="11"/>
      <c r="L130" s="12"/>
      <c r="M130" s="13"/>
      <c r="O130" s="6"/>
      <c r="P130" s="7"/>
      <c r="Q130" s="8"/>
      <c r="R130" s="9"/>
      <c r="T130" s="10"/>
      <c r="U130" s="11"/>
      <c r="V130" s="12"/>
      <c r="W130" s="13"/>
      <c r="Y130" s="6"/>
      <c r="Z130" s="7"/>
      <c r="AA130" s="8"/>
      <c r="AB130" s="9"/>
      <c r="AD130" s="10"/>
      <c r="AE130" s="11"/>
      <c r="AF130" s="12"/>
      <c r="AG130" s="13"/>
      <c r="AI130" s="6"/>
      <c r="AJ130" s="7"/>
      <c r="AK130" s="8"/>
      <c r="AL130" s="9"/>
      <c r="AN130" s="10"/>
      <c r="AO130" s="11"/>
      <c r="AP130" s="12"/>
      <c r="AQ130" s="13"/>
      <c r="AS130" s="6"/>
      <c r="AT130" s="7"/>
      <c r="AU130" s="8"/>
      <c r="AV130" s="9"/>
      <c r="AX130" s="10"/>
      <c r="AY130" s="11"/>
      <c r="AZ130" s="12"/>
      <c r="BA130" s="13"/>
      <c r="BC130" s="6"/>
      <c r="BD130" s="7"/>
      <c r="BE130" s="8"/>
      <c r="BF130" s="9"/>
      <c r="BG130" s="4"/>
      <c r="BH130" s="46">
        <f t="shared" si="2"/>
        <v>0</v>
      </c>
      <c r="BI130" s="47">
        <f t="shared" si="3"/>
        <v>0</v>
      </c>
    </row>
    <row r="131" spans="1:61" x14ac:dyDescent="0.25">
      <c r="A131" s="40" t="s">
        <v>324</v>
      </c>
      <c r="B131" s="41">
        <v>3</v>
      </c>
      <c r="C131" s="40" t="s">
        <v>66</v>
      </c>
      <c r="D131" t="s">
        <v>56</v>
      </c>
      <c r="E131" s="6"/>
      <c r="F131" s="7"/>
      <c r="G131" s="8"/>
      <c r="H131" s="9"/>
      <c r="J131" s="10"/>
      <c r="K131" s="11"/>
      <c r="L131" s="12"/>
      <c r="M131" s="13"/>
      <c r="O131" s="6"/>
      <c r="P131" s="7"/>
      <c r="Q131" s="8"/>
      <c r="R131" s="9"/>
      <c r="T131" s="10"/>
      <c r="U131" s="11"/>
      <c r="V131" s="12"/>
      <c r="W131" s="13"/>
      <c r="Y131" s="6"/>
      <c r="Z131" s="7"/>
      <c r="AA131" s="8"/>
      <c r="AB131" s="9"/>
      <c r="AD131" s="10"/>
      <c r="AE131" s="11"/>
      <c r="AF131" s="12"/>
      <c r="AG131" s="13"/>
      <c r="AI131" s="6"/>
      <c r="AJ131" s="7"/>
      <c r="AK131" s="8"/>
      <c r="AL131" s="9"/>
      <c r="AN131" s="10"/>
      <c r="AO131" s="11"/>
      <c r="AP131" s="12"/>
      <c r="AQ131" s="13"/>
      <c r="AS131" s="6"/>
      <c r="AT131" s="7"/>
      <c r="AU131" s="8"/>
      <c r="AV131" s="9"/>
      <c r="AX131" s="10"/>
      <c r="AY131" s="11"/>
      <c r="AZ131" s="12"/>
      <c r="BA131" s="13"/>
      <c r="BC131" s="6"/>
      <c r="BD131" s="7"/>
      <c r="BE131" s="8"/>
      <c r="BF131" s="9"/>
      <c r="BG131" s="4"/>
      <c r="BH131" s="46">
        <f t="shared" si="2"/>
        <v>0</v>
      </c>
      <c r="BI131" s="47">
        <f t="shared" si="3"/>
        <v>0</v>
      </c>
    </row>
    <row r="132" spans="1:61" x14ac:dyDescent="0.25">
      <c r="A132" s="40" t="s">
        <v>323</v>
      </c>
      <c r="B132" s="41">
        <v>3</v>
      </c>
      <c r="C132" s="40" t="s">
        <v>66</v>
      </c>
      <c r="D132" t="s">
        <v>56</v>
      </c>
      <c r="E132" s="6"/>
      <c r="F132" s="7"/>
      <c r="G132" s="8"/>
      <c r="H132" s="9"/>
      <c r="J132" s="10"/>
      <c r="K132" s="11"/>
      <c r="L132" s="12"/>
      <c r="M132" s="13"/>
      <c r="O132" s="6"/>
      <c r="P132" s="7"/>
      <c r="Q132" s="8"/>
      <c r="R132" s="9"/>
      <c r="T132" s="10"/>
      <c r="U132" s="11"/>
      <c r="V132" s="12"/>
      <c r="W132" s="13"/>
      <c r="Y132" s="6"/>
      <c r="Z132" s="7"/>
      <c r="AA132" s="8"/>
      <c r="AB132" s="9"/>
      <c r="AD132" s="10"/>
      <c r="AE132" s="11"/>
      <c r="AF132" s="12"/>
      <c r="AG132" s="13"/>
      <c r="AI132" s="6"/>
      <c r="AJ132" s="7"/>
      <c r="AK132" s="8"/>
      <c r="AL132" s="9"/>
      <c r="AN132" s="10"/>
      <c r="AO132" s="11"/>
      <c r="AP132" s="12"/>
      <c r="AQ132" s="13"/>
      <c r="AS132" s="6"/>
      <c r="AT132" s="7"/>
      <c r="AU132" s="8"/>
      <c r="AV132" s="9"/>
      <c r="AX132" s="10"/>
      <c r="AY132" s="11"/>
      <c r="AZ132" s="12"/>
      <c r="BA132" s="13"/>
      <c r="BC132" s="6"/>
      <c r="BD132" s="7"/>
      <c r="BE132" s="8"/>
      <c r="BF132" s="9"/>
      <c r="BG132" s="4"/>
      <c r="BH132" s="46">
        <f t="shared" si="2"/>
        <v>0</v>
      </c>
      <c r="BI132" s="47">
        <f t="shared" si="3"/>
        <v>0</v>
      </c>
    </row>
    <row r="133" spans="1:61" x14ac:dyDescent="0.25">
      <c r="A133" s="40" t="s">
        <v>322</v>
      </c>
      <c r="B133" s="41">
        <v>3</v>
      </c>
      <c r="C133" s="40" t="s">
        <v>66</v>
      </c>
      <c r="D133" t="s">
        <v>56</v>
      </c>
      <c r="E133" s="6"/>
      <c r="F133" s="7"/>
      <c r="G133" s="8"/>
      <c r="H133" s="9"/>
      <c r="J133" s="10"/>
      <c r="K133" s="11"/>
      <c r="L133" s="12"/>
      <c r="M133" s="13"/>
      <c r="O133" s="6"/>
      <c r="P133" s="7"/>
      <c r="Q133" s="8"/>
      <c r="R133" s="9"/>
      <c r="T133" s="10"/>
      <c r="U133" s="11"/>
      <c r="V133" s="12"/>
      <c r="W133" s="13"/>
      <c r="Y133" s="6"/>
      <c r="Z133" s="7"/>
      <c r="AA133" s="8"/>
      <c r="AB133" s="9"/>
      <c r="AD133" s="10"/>
      <c r="AE133" s="11"/>
      <c r="AF133" s="12"/>
      <c r="AG133" s="13"/>
      <c r="AI133" s="6"/>
      <c r="AJ133" s="7"/>
      <c r="AK133" s="8"/>
      <c r="AL133" s="9"/>
      <c r="AN133" s="10"/>
      <c r="AO133" s="11"/>
      <c r="AP133" s="12"/>
      <c r="AQ133" s="13"/>
      <c r="AS133" s="6"/>
      <c r="AT133" s="7"/>
      <c r="AU133" s="8"/>
      <c r="AV133" s="9"/>
      <c r="AX133" s="10"/>
      <c r="AY133" s="11"/>
      <c r="AZ133" s="12"/>
      <c r="BA133" s="13"/>
      <c r="BC133" s="6"/>
      <c r="BD133" s="7"/>
      <c r="BE133" s="8"/>
      <c r="BF133" s="9"/>
      <c r="BG133" s="4"/>
      <c r="BH133" s="46">
        <f t="shared" si="2"/>
        <v>0</v>
      </c>
      <c r="BI133" s="47">
        <f t="shared" si="3"/>
        <v>0</v>
      </c>
    </row>
    <row r="134" spans="1:61" x14ac:dyDescent="0.25">
      <c r="A134" s="40" t="s">
        <v>321</v>
      </c>
      <c r="B134" s="41">
        <v>3</v>
      </c>
      <c r="C134" s="40" t="s">
        <v>66</v>
      </c>
      <c r="D134" t="s">
        <v>56</v>
      </c>
      <c r="E134" s="6"/>
      <c r="F134" s="7"/>
      <c r="G134" s="8"/>
      <c r="H134" s="9"/>
      <c r="J134" s="10"/>
      <c r="K134" s="11"/>
      <c r="L134" s="12"/>
      <c r="M134" s="13"/>
      <c r="O134" s="6"/>
      <c r="P134" s="7"/>
      <c r="Q134" s="8"/>
      <c r="R134" s="9"/>
      <c r="T134" s="10"/>
      <c r="U134" s="11"/>
      <c r="V134" s="12"/>
      <c r="W134" s="13"/>
      <c r="Y134" s="6"/>
      <c r="Z134" s="7"/>
      <c r="AA134" s="8"/>
      <c r="AB134" s="9"/>
      <c r="AD134" s="10"/>
      <c r="AE134" s="11"/>
      <c r="AF134" s="12"/>
      <c r="AG134" s="13"/>
      <c r="AI134" s="6"/>
      <c r="AJ134" s="7"/>
      <c r="AK134" s="8"/>
      <c r="AL134" s="9"/>
      <c r="AN134" s="10"/>
      <c r="AO134" s="11"/>
      <c r="AP134" s="12"/>
      <c r="AQ134" s="13"/>
      <c r="AS134" s="6"/>
      <c r="AT134" s="7"/>
      <c r="AU134" s="8"/>
      <c r="AV134" s="9"/>
      <c r="AX134" s="10"/>
      <c r="AY134" s="11"/>
      <c r="AZ134" s="12"/>
      <c r="BA134" s="13"/>
      <c r="BC134" s="6"/>
      <c r="BD134" s="7"/>
      <c r="BE134" s="8"/>
      <c r="BF134" s="9"/>
      <c r="BG134" s="4"/>
      <c r="BH134" s="46">
        <f t="shared" ref="BH134:BH177" si="4">SUM(E134:BF134)</f>
        <v>0</v>
      </c>
      <c r="BI134" s="47">
        <f t="shared" ref="BI134:BI177" si="5">(SUM(E134:BG134)*$D$2)</f>
        <v>0</v>
      </c>
    </row>
    <row r="135" spans="1:61" x14ac:dyDescent="0.25">
      <c r="A135" s="40" t="s">
        <v>320</v>
      </c>
      <c r="B135" s="41">
        <v>3</v>
      </c>
      <c r="C135" s="40" t="s">
        <v>66</v>
      </c>
      <c r="D135" t="s">
        <v>56</v>
      </c>
      <c r="E135" s="6"/>
      <c r="F135" s="7"/>
      <c r="G135" s="8"/>
      <c r="H135" s="9"/>
      <c r="J135" s="10"/>
      <c r="K135" s="11"/>
      <c r="L135" s="12"/>
      <c r="M135" s="13"/>
      <c r="O135" s="6"/>
      <c r="P135" s="7"/>
      <c r="Q135" s="8"/>
      <c r="R135" s="9"/>
      <c r="T135" s="10"/>
      <c r="U135" s="11"/>
      <c r="V135" s="12"/>
      <c r="W135" s="13"/>
      <c r="Y135" s="6"/>
      <c r="Z135" s="7"/>
      <c r="AA135" s="8"/>
      <c r="AB135" s="9"/>
      <c r="AD135" s="10"/>
      <c r="AE135" s="11"/>
      <c r="AF135" s="12"/>
      <c r="AG135" s="13"/>
      <c r="AI135" s="6"/>
      <c r="AJ135" s="7"/>
      <c r="AK135" s="8"/>
      <c r="AL135" s="9"/>
      <c r="AN135" s="10"/>
      <c r="AO135" s="11"/>
      <c r="AP135" s="12"/>
      <c r="AQ135" s="13"/>
      <c r="AS135" s="6"/>
      <c r="AT135" s="7"/>
      <c r="AU135" s="8"/>
      <c r="AV135" s="9"/>
      <c r="AX135" s="10"/>
      <c r="AY135" s="11"/>
      <c r="AZ135" s="12"/>
      <c r="BA135" s="13"/>
      <c r="BC135" s="6"/>
      <c r="BD135" s="7"/>
      <c r="BE135" s="8"/>
      <c r="BF135" s="9"/>
      <c r="BG135" s="4"/>
      <c r="BH135" s="46">
        <f t="shared" si="4"/>
        <v>0</v>
      </c>
      <c r="BI135" s="47">
        <f t="shared" si="5"/>
        <v>0</v>
      </c>
    </row>
    <row r="136" spans="1:61" x14ac:dyDescent="0.25">
      <c r="A136" s="40" t="s">
        <v>319</v>
      </c>
      <c r="B136" s="41">
        <v>4</v>
      </c>
      <c r="C136" s="40" t="s">
        <v>66</v>
      </c>
      <c r="D136" t="s">
        <v>58</v>
      </c>
      <c r="E136" s="6"/>
      <c r="F136" s="7"/>
      <c r="G136" s="8"/>
      <c r="H136" s="9"/>
      <c r="J136" s="10"/>
      <c r="K136" s="11"/>
      <c r="L136" s="12"/>
      <c r="M136" s="13"/>
      <c r="O136" s="6"/>
      <c r="P136" s="7"/>
      <c r="Q136" s="8"/>
      <c r="R136" s="9"/>
      <c r="T136" s="10"/>
      <c r="U136" s="11"/>
      <c r="V136" s="12"/>
      <c r="W136" s="13"/>
      <c r="Y136" s="6"/>
      <c r="Z136" s="7"/>
      <c r="AA136" s="8"/>
      <c r="AB136" s="9"/>
      <c r="AD136" s="10"/>
      <c r="AE136" s="11"/>
      <c r="AF136" s="12"/>
      <c r="AG136" s="13"/>
      <c r="AI136" s="6"/>
      <c r="AJ136" s="7"/>
      <c r="AK136" s="8"/>
      <c r="AL136" s="9"/>
      <c r="AN136" s="10"/>
      <c r="AO136" s="11"/>
      <c r="AP136" s="12"/>
      <c r="AQ136" s="13"/>
      <c r="AS136" s="6"/>
      <c r="AT136" s="7"/>
      <c r="AU136" s="8"/>
      <c r="AV136" s="9"/>
      <c r="AX136" s="10"/>
      <c r="AY136" s="11"/>
      <c r="AZ136" s="12"/>
      <c r="BA136" s="13"/>
      <c r="BC136" s="6"/>
      <c r="BD136" s="7"/>
      <c r="BE136" s="8"/>
      <c r="BF136" s="9"/>
      <c r="BG136" s="4"/>
      <c r="BH136" s="46">
        <f t="shared" si="4"/>
        <v>0</v>
      </c>
      <c r="BI136" s="47">
        <f t="shared" si="5"/>
        <v>0</v>
      </c>
    </row>
    <row r="137" spans="1:61" x14ac:dyDescent="0.25">
      <c r="A137" s="40" t="s">
        <v>318</v>
      </c>
      <c r="B137" s="41">
        <v>4</v>
      </c>
      <c r="C137" s="40" t="s">
        <v>66</v>
      </c>
      <c r="D137" t="s">
        <v>58</v>
      </c>
      <c r="E137" s="6"/>
      <c r="F137" s="7"/>
      <c r="G137" s="8"/>
      <c r="H137" s="9"/>
      <c r="J137" s="10"/>
      <c r="K137" s="11"/>
      <c r="L137" s="12"/>
      <c r="M137" s="13"/>
      <c r="O137" s="6"/>
      <c r="P137" s="7"/>
      <c r="Q137" s="8"/>
      <c r="R137" s="9"/>
      <c r="T137" s="10"/>
      <c r="U137" s="11"/>
      <c r="V137" s="12"/>
      <c r="W137" s="13"/>
      <c r="Y137" s="6"/>
      <c r="Z137" s="7"/>
      <c r="AA137" s="8"/>
      <c r="AB137" s="9"/>
      <c r="AD137" s="10"/>
      <c r="AE137" s="11"/>
      <c r="AF137" s="12"/>
      <c r="AG137" s="13"/>
      <c r="AI137" s="6"/>
      <c r="AJ137" s="7"/>
      <c r="AK137" s="8"/>
      <c r="AL137" s="9"/>
      <c r="AN137" s="10"/>
      <c r="AO137" s="11"/>
      <c r="AP137" s="12"/>
      <c r="AQ137" s="13"/>
      <c r="AS137" s="6"/>
      <c r="AT137" s="7"/>
      <c r="AU137" s="8"/>
      <c r="AV137" s="9"/>
      <c r="AX137" s="10"/>
      <c r="AY137" s="11"/>
      <c r="AZ137" s="12"/>
      <c r="BA137" s="13"/>
      <c r="BC137" s="6"/>
      <c r="BD137" s="7"/>
      <c r="BE137" s="8"/>
      <c r="BF137" s="9"/>
      <c r="BG137" s="4"/>
      <c r="BH137" s="46">
        <f t="shared" si="4"/>
        <v>0</v>
      </c>
      <c r="BI137" s="47">
        <f t="shared" si="5"/>
        <v>0</v>
      </c>
    </row>
    <row r="138" spans="1:61" x14ac:dyDescent="0.25">
      <c r="A138" s="40" t="s">
        <v>317</v>
      </c>
      <c r="B138" s="41">
        <v>5</v>
      </c>
      <c r="C138" s="40" t="s">
        <v>66</v>
      </c>
      <c r="D138" t="s">
        <v>58</v>
      </c>
      <c r="E138" s="6"/>
      <c r="F138" s="7"/>
      <c r="G138" s="8"/>
      <c r="H138" s="9"/>
      <c r="J138" s="10"/>
      <c r="K138" s="11"/>
      <c r="L138" s="12"/>
      <c r="M138" s="13"/>
      <c r="O138" s="6"/>
      <c r="P138" s="7"/>
      <c r="Q138" s="8"/>
      <c r="R138" s="9"/>
      <c r="T138" s="10"/>
      <c r="U138" s="11"/>
      <c r="V138" s="12"/>
      <c r="W138" s="13"/>
      <c r="Y138" s="6"/>
      <c r="Z138" s="7"/>
      <c r="AA138" s="8"/>
      <c r="AB138" s="9"/>
      <c r="AD138" s="10"/>
      <c r="AE138" s="11"/>
      <c r="AF138" s="12"/>
      <c r="AG138" s="13"/>
      <c r="AI138" s="6"/>
      <c r="AJ138" s="7"/>
      <c r="AK138" s="8"/>
      <c r="AL138" s="9"/>
      <c r="AN138" s="10"/>
      <c r="AO138" s="11"/>
      <c r="AP138" s="12"/>
      <c r="AQ138" s="13"/>
      <c r="AS138" s="6"/>
      <c r="AT138" s="7"/>
      <c r="AU138" s="8"/>
      <c r="AV138" s="9"/>
      <c r="AX138" s="10"/>
      <c r="AY138" s="11"/>
      <c r="AZ138" s="12"/>
      <c r="BA138" s="13"/>
      <c r="BC138" s="6"/>
      <c r="BD138" s="7"/>
      <c r="BE138" s="8"/>
      <c r="BF138" s="9"/>
      <c r="BG138" s="4"/>
      <c r="BH138" s="46">
        <f t="shared" si="4"/>
        <v>0</v>
      </c>
      <c r="BI138" s="47">
        <f t="shared" si="5"/>
        <v>0</v>
      </c>
    </row>
    <row r="139" spans="1:61" x14ac:dyDescent="0.25">
      <c r="A139" s="40" t="s">
        <v>316</v>
      </c>
      <c r="B139" s="41">
        <v>5</v>
      </c>
      <c r="C139" s="40" t="s">
        <v>66</v>
      </c>
      <c r="D139" t="s">
        <v>58</v>
      </c>
      <c r="E139" s="6"/>
      <c r="F139" s="7"/>
      <c r="G139" s="8"/>
      <c r="H139" s="9"/>
      <c r="J139" s="10"/>
      <c r="K139" s="11"/>
      <c r="L139" s="12"/>
      <c r="M139" s="13"/>
      <c r="O139" s="6"/>
      <c r="P139" s="7"/>
      <c r="Q139" s="8"/>
      <c r="R139" s="9"/>
      <c r="T139" s="10"/>
      <c r="U139" s="11"/>
      <c r="V139" s="12"/>
      <c r="W139" s="13"/>
      <c r="Y139" s="6"/>
      <c r="Z139" s="7"/>
      <c r="AA139" s="8"/>
      <c r="AB139" s="9"/>
      <c r="AD139" s="10"/>
      <c r="AE139" s="11"/>
      <c r="AF139" s="12"/>
      <c r="AG139" s="13"/>
      <c r="AI139" s="6"/>
      <c r="AJ139" s="7"/>
      <c r="AK139" s="8"/>
      <c r="AL139" s="9"/>
      <c r="AN139" s="10"/>
      <c r="AO139" s="11"/>
      <c r="AP139" s="12"/>
      <c r="AQ139" s="13"/>
      <c r="AS139" s="6"/>
      <c r="AT139" s="7"/>
      <c r="AU139" s="8"/>
      <c r="AV139" s="9"/>
      <c r="AX139" s="10"/>
      <c r="AY139" s="11"/>
      <c r="AZ139" s="12"/>
      <c r="BA139" s="13"/>
      <c r="BC139" s="6"/>
      <c r="BD139" s="7"/>
      <c r="BE139" s="8"/>
      <c r="BF139" s="9"/>
      <c r="BG139" s="4"/>
      <c r="BH139" s="46">
        <f t="shared" si="4"/>
        <v>0</v>
      </c>
      <c r="BI139" s="47">
        <f t="shared" si="5"/>
        <v>0</v>
      </c>
    </row>
    <row r="140" spans="1:61" x14ac:dyDescent="0.25">
      <c r="A140" s="40" t="s">
        <v>315</v>
      </c>
      <c r="B140" s="41">
        <v>4</v>
      </c>
      <c r="C140" s="40" t="s">
        <v>66</v>
      </c>
      <c r="D140" t="s">
        <v>55</v>
      </c>
      <c r="E140" s="6"/>
      <c r="F140" s="7"/>
      <c r="G140" s="8"/>
      <c r="H140" s="9"/>
      <c r="J140" s="10"/>
      <c r="K140" s="11"/>
      <c r="L140" s="12"/>
      <c r="M140" s="13"/>
      <c r="O140" s="6"/>
      <c r="P140" s="7"/>
      <c r="Q140" s="8"/>
      <c r="R140" s="9"/>
      <c r="T140" s="10"/>
      <c r="U140" s="11"/>
      <c r="V140" s="12"/>
      <c r="W140" s="13"/>
      <c r="Y140" s="6"/>
      <c r="Z140" s="7"/>
      <c r="AA140" s="8"/>
      <c r="AB140" s="9"/>
      <c r="AD140" s="10"/>
      <c r="AE140" s="11"/>
      <c r="AF140" s="12"/>
      <c r="AG140" s="13"/>
      <c r="AI140" s="6"/>
      <c r="AJ140" s="7"/>
      <c r="AK140" s="8"/>
      <c r="AL140" s="9"/>
      <c r="AN140" s="10"/>
      <c r="AO140" s="11"/>
      <c r="AP140" s="12"/>
      <c r="AQ140" s="13"/>
      <c r="AS140" s="6"/>
      <c r="AT140" s="7"/>
      <c r="AU140" s="8"/>
      <c r="AV140" s="9"/>
      <c r="AX140" s="10"/>
      <c r="AY140" s="11"/>
      <c r="AZ140" s="12"/>
      <c r="BA140" s="13"/>
      <c r="BC140" s="6"/>
      <c r="BD140" s="7"/>
      <c r="BE140" s="8"/>
      <c r="BF140" s="9"/>
      <c r="BG140" s="4"/>
      <c r="BH140" s="46">
        <f t="shared" si="4"/>
        <v>0</v>
      </c>
      <c r="BI140" s="47">
        <f t="shared" si="5"/>
        <v>0</v>
      </c>
    </row>
    <row r="141" spans="1:61" x14ac:dyDescent="0.25">
      <c r="A141" s="40" t="s">
        <v>314</v>
      </c>
      <c r="B141" s="41">
        <v>4</v>
      </c>
      <c r="C141" s="40" t="s">
        <v>66</v>
      </c>
      <c r="D141" t="s">
        <v>55</v>
      </c>
      <c r="E141" s="6"/>
      <c r="F141" s="7"/>
      <c r="G141" s="8"/>
      <c r="H141" s="9"/>
      <c r="J141" s="10"/>
      <c r="K141" s="11"/>
      <c r="L141" s="12"/>
      <c r="M141" s="13"/>
      <c r="O141" s="6"/>
      <c r="P141" s="7"/>
      <c r="Q141" s="8"/>
      <c r="R141" s="9"/>
      <c r="T141" s="10"/>
      <c r="U141" s="11"/>
      <c r="V141" s="12"/>
      <c r="W141" s="13"/>
      <c r="Y141" s="6"/>
      <c r="Z141" s="7"/>
      <c r="AA141" s="8"/>
      <c r="AB141" s="9"/>
      <c r="AD141" s="10"/>
      <c r="AE141" s="11"/>
      <c r="AF141" s="12"/>
      <c r="AG141" s="13"/>
      <c r="AI141" s="6"/>
      <c r="AJ141" s="7"/>
      <c r="AK141" s="8"/>
      <c r="AL141" s="9"/>
      <c r="AN141" s="10"/>
      <c r="AO141" s="11"/>
      <c r="AP141" s="12"/>
      <c r="AQ141" s="13"/>
      <c r="AS141" s="6"/>
      <c r="AT141" s="7"/>
      <c r="AU141" s="8"/>
      <c r="AV141" s="9"/>
      <c r="AX141" s="10"/>
      <c r="AY141" s="11"/>
      <c r="AZ141" s="12"/>
      <c r="BA141" s="13"/>
      <c r="BC141" s="6"/>
      <c r="BD141" s="7"/>
      <c r="BE141" s="8"/>
      <c r="BF141" s="9"/>
      <c r="BG141" s="4"/>
      <c r="BH141" s="46">
        <f t="shared" si="4"/>
        <v>0</v>
      </c>
      <c r="BI141" s="47">
        <f t="shared" si="5"/>
        <v>0</v>
      </c>
    </row>
    <row r="142" spans="1:61" x14ac:dyDescent="0.25">
      <c r="A142" s="40" t="s">
        <v>313</v>
      </c>
      <c r="B142" s="41">
        <v>4</v>
      </c>
      <c r="C142" s="40" t="s">
        <v>66</v>
      </c>
      <c r="D142" t="s">
        <v>55</v>
      </c>
      <c r="E142" s="6"/>
      <c r="F142" s="7"/>
      <c r="G142" s="8"/>
      <c r="H142" s="9"/>
      <c r="J142" s="10"/>
      <c r="K142" s="11"/>
      <c r="L142" s="12"/>
      <c r="M142" s="13"/>
      <c r="O142" s="6"/>
      <c r="P142" s="7"/>
      <c r="Q142" s="8"/>
      <c r="R142" s="9"/>
      <c r="T142" s="10"/>
      <c r="U142" s="11"/>
      <c r="V142" s="12"/>
      <c r="W142" s="13"/>
      <c r="Y142" s="6"/>
      <c r="Z142" s="7"/>
      <c r="AA142" s="8"/>
      <c r="AB142" s="9"/>
      <c r="AD142" s="10"/>
      <c r="AE142" s="11"/>
      <c r="AF142" s="12"/>
      <c r="AG142" s="13"/>
      <c r="AI142" s="6"/>
      <c r="AJ142" s="7"/>
      <c r="AK142" s="8"/>
      <c r="AL142" s="9"/>
      <c r="AN142" s="10"/>
      <c r="AO142" s="11"/>
      <c r="AP142" s="12"/>
      <c r="AQ142" s="13"/>
      <c r="AS142" s="6"/>
      <c r="AT142" s="7"/>
      <c r="AU142" s="8"/>
      <c r="AV142" s="9"/>
      <c r="AX142" s="10"/>
      <c r="AY142" s="11"/>
      <c r="AZ142" s="12"/>
      <c r="BA142" s="13"/>
      <c r="BC142" s="6"/>
      <c r="BD142" s="7"/>
      <c r="BE142" s="8"/>
      <c r="BF142" s="9"/>
      <c r="BG142" s="4"/>
      <c r="BH142" s="46">
        <f t="shared" si="4"/>
        <v>0</v>
      </c>
      <c r="BI142" s="47">
        <f t="shared" si="5"/>
        <v>0</v>
      </c>
    </row>
    <row r="143" spans="1:61" x14ac:dyDescent="0.25">
      <c r="A143" s="40" t="s">
        <v>312</v>
      </c>
      <c r="B143" s="41">
        <v>4</v>
      </c>
      <c r="C143" s="40" t="s">
        <v>66</v>
      </c>
      <c r="D143" t="s">
        <v>55</v>
      </c>
      <c r="E143" s="6"/>
      <c r="F143" s="7"/>
      <c r="G143" s="8"/>
      <c r="H143" s="9"/>
      <c r="J143" s="10"/>
      <c r="K143" s="11"/>
      <c r="L143" s="12"/>
      <c r="M143" s="13"/>
      <c r="O143" s="6"/>
      <c r="P143" s="7"/>
      <c r="Q143" s="8"/>
      <c r="R143" s="9"/>
      <c r="T143" s="10"/>
      <c r="U143" s="11"/>
      <c r="V143" s="12"/>
      <c r="W143" s="13"/>
      <c r="Y143" s="6"/>
      <c r="Z143" s="7"/>
      <c r="AA143" s="8"/>
      <c r="AB143" s="9"/>
      <c r="AD143" s="10"/>
      <c r="AE143" s="11"/>
      <c r="AF143" s="12"/>
      <c r="AG143" s="13"/>
      <c r="AI143" s="6"/>
      <c r="AJ143" s="7"/>
      <c r="AK143" s="8"/>
      <c r="AL143" s="9"/>
      <c r="AN143" s="10"/>
      <c r="AO143" s="11"/>
      <c r="AP143" s="12"/>
      <c r="AQ143" s="13"/>
      <c r="AS143" s="6"/>
      <c r="AT143" s="7"/>
      <c r="AU143" s="8"/>
      <c r="AV143" s="9"/>
      <c r="AX143" s="10"/>
      <c r="AY143" s="11"/>
      <c r="AZ143" s="12"/>
      <c r="BA143" s="13"/>
      <c r="BC143" s="6"/>
      <c r="BD143" s="7"/>
      <c r="BE143" s="8"/>
      <c r="BF143" s="9"/>
      <c r="BG143" s="4"/>
      <c r="BH143" s="46">
        <f t="shared" si="4"/>
        <v>0</v>
      </c>
      <c r="BI143" s="47">
        <f t="shared" si="5"/>
        <v>0</v>
      </c>
    </row>
    <row r="144" spans="1:61" x14ac:dyDescent="0.25">
      <c r="A144" s="40" t="s">
        <v>311</v>
      </c>
      <c r="B144" s="41">
        <v>4</v>
      </c>
      <c r="C144" s="40" t="s">
        <v>66</v>
      </c>
      <c r="D144" t="s">
        <v>55</v>
      </c>
      <c r="E144" s="6"/>
      <c r="F144" s="7"/>
      <c r="G144" s="8"/>
      <c r="H144" s="9"/>
      <c r="J144" s="10"/>
      <c r="K144" s="11"/>
      <c r="L144" s="12"/>
      <c r="M144" s="13"/>
      <c r="O144" s="6"/>
      <c r="P144" s="7"/>
      <c r="Q144" s="8"/>
      <c r="R144" s="9"/>
      <c r="T144" s="10"/>
      <c r="U144" s="11"/>
      <c r="V144" s="12"/>
      <c r="W144" s="13"/>
      <c r="Y144" s="6"/>
      <c r="Z144" s="7"/>
      <c r="AA144" s="8"/>
      <c r="AB144" s="9"/>
      <c r="AD144" s="10"/>
      <c r="AE144" s="11"/>
      <c r="AF144" s="12"/>
      <c r="AG144" s="13"/>
      <c r="AI144" s="6"/>
      <c r="AJ144" s="7"/>
      <c r="AK144" s="8"/>
      <c r="AL144" s="9"/>
      <c r="AN144" s="10"/>
      <c r="AO144" s="11"/>
      <c r="AP144" s="12"/>
      <c r="AQ144" s="13"/>
      <c r="AS144" s="6"/>
      <c r="AT144" s="7"/>
      <c r="AU144" s="8"/>
      <c r="AV144" s="9"/>
      <c r="AX144" s="10"/>
      <c r="AY144" s="11"/>
      <c r="AZ144" s="12"/>
      <c r="BA144" s="13"/>
      <c r="BC144" s="6"/>
      <c r="BD144" s="7"/>
      <c r="BE144" s="8"/>
      <c r="BF144" s="9"/>
      <c r="BG144" s="4"/>
      <c r="BH144" s="46">
        <f t="shared" si="4"/>
        <v>0</v>
      </c>
      <c r="BI144" s="47">
        <f t="shared" si="5"/>
        <v>0</v>
      </c>
    </row>
    <row r="145" spans="1:61" x14ac:dyDescent="0.25">
      <c r="A145" s="40" t="s">
        <v>310</v>
      </c>
      <c r="B145" s="41">
        <v>4</v>
      </c>
      <c r="C145" s="40" t="s">
        <v>66</v>
      </c>
      <c r="D145" t="s">
        <v>55</v>
      </c>
      <c r="E145" s="6"/>
      <c r="F145" s="7"/>
      <c r="G145" s="8"/>
      <c r="H145" s="9"/>
      <c r="J145" s="10"/>
      <c r="K145" s="11"/>
      <c r="L145" s="12"/>
      <c r="M145" s="13"/>
      <c r="O145" s="6"/>
      <c r="P145" s="7"/>
      <c r="Q145" s="8"/>
      <c r="R145" s="9"/>
      <c r="T145" s="10"/>
      <c r="U145" s="11"/>
      <c r="V145" s="12"/>
      <c r="W145" s="13"/>
      <c r="Y145" s="6"/>
      <c r="Z145" s="7"/>
      <c r="AA145" s="8"/>
      <c r="AB145" s="9"/>
      <c r="AD145" s="10"/>
      <c r="AE145" s="11"/>
      <c r="AF145" s="12"/>
      <c r="AG145" s="13"/>
      <c r="AI145" s="6"/>
      <c r="AJ145" s="7"/>
      <c r="AK145" s="8"/>
      <c r="AL145" s="9"/>
      <c r="AN145" s="10"/>
      <c r="AO145" s="11"/>
      <c r="AP145" s="12"/>
      <c r="AQ145" s="13"/>
      <c r="AS145" s="6"/>
      <c r="AT145" s="7"/>
      <c r="AU145" s="8"/>
      <c r="AV145" s="9"/>
      <c r="AX145" s="10"/>
      <c r="AY145" s="11"/>
      <c r="AZ145" s="12"/>
      <c r="BA145" s="13"/>
      <c r="BC145" s="6"/>
      <c r="BD145" s="7"/>
      <c r="BE145" s="8"/>
      <c r="BF145" s="9"/>
      <c r="BG145" s="4"/>
      <c r="BH145" s="46">
        <f t="shared" si="4"/>
        <v>0</v>
      </c>
      <c r="BI145" s="47">
        <f t="shared" si="5"/>
        <v>0</v>
      </c>
    </row>
    <row r="146" spans="1:61" x14ac:dyDescent="0.25">
      <c r="A146" s="40" t="s">
        <v>309</v>
      </c>
      <c r="B146" s="41">
        <v>4</v>
      </c>
      <c r="C146" s="40" t="s">
        <v>66</v>
      </c>
      <c r="D146" t="s">
        <v>55</v>
      </c>
      <c r="E146" s="6"/>
      <c r="F146" s="7"/>
      <c r="G146" s="8"/>
      <c r="H146" s="9"/>
      <c r="J146" s="10"/>
      <c r="K146" s="11"/>
      <c r="L146" s="12"/>
      <c r="M146" s="13"/>
      <c r="O146" s="6"/>
      <c r="P146" s="7"/>
      <c r="Q146" s="8"/>
      <c r="R146" s="9"/>
      <c r="T146" s="10"/>
      <c r="U146" s="11"/>
      <c r="V146" s="12"/>
      <c r="W146" s="13"/>
      <c r="Y146" s="6"/>
      <c r="Z146" s="7"/>
      <c r="AA146" s="8"/>
      <c r="AB146" s="9"/>
      <c r="AD146" s="10"/>
      <c r="AE146" s="11"/>
      <c r="AF146" s="12"/>
      <c r="AG146" s="13"/>
      <c r="AI146" s="6"/>
      <c r="AJ146" s="7"/>
      <c r="AK146" s="8"/>
      <c r="AL146" s="9"/>
      <c r="AN146" s="10"/>
      <c r="AO146" s="11"/>
      <c r="AP146" s="12"/>
      <c r="AQ146" s="13"/>
      <c r="AS146" s="6"/>
      <c r="AT146" s="7"/>
      <c r="AU146" s="8"/>
      <c r="AV146" s="9"/>
      <c r="AX146" s="10"/>
      <c r="AY146" s="11"/>
      <c r="AZ146" s="12"/>
      <c r="BA146" s="13"/>
      <c r="BC146" s="6"/>
      <c r="BD146" s="7"/>
      <c r="BE146" s="8"/>
      <c r="BF146" s="9"/>
      <c r="BG146" s="4"/>
      <c r="BH146" s="46">
        <f t="shared" si="4"/>
        <v>0</v>
      </c>
      <c r="BI146" s="47">
        <f t="shared" si="5"/>
        <v>0</v>
      </c>
    </row>
    <row r="147" spans="1:61" x14ac:dyDescent="0.25">
      <c r="A147" s="40" t="s">
        <v>308</v>
      </c>
      <c r="B147" s="41">
        <v>4</v>
      </c>
      <c r="C147" s="40" t="s">
        <v>66</v>
      </c>
      <c r="D147" t="s">
        <v>55</v>
      </c>
      <c r="E147" s="6"/>
      <c r="F147" s="7"/>
      <c r="G147" s="8"/>
      <c r="H147" s="9"/>
      <c r="J147" s="10"/>
      <c r="K147" s="11"/>
      <c r="L147" s="12"/>
      <c r="M147" s="13"/>
      <c r="O147" s="6"/>
      <c r="P147" s="7"/>
      <c r="Q147" s="8"/>
      <c r="R147" s="9"/>
      <c r="T147" s="10"/>
      <c r="U147" s="11"/>
      <c r="V147" s="12"/>
      <c r="W147" s="13"/>
      <c r="Y147" s="6"/>
      <c r="Z147" s="7"/>
      <c r="AA147" s="8"/>
      <c r="AB147" s="9"/>
      <c r="AD147" s="10"/>
      <c r="AE147" s="11"/>
      <c r="AF147" s="12"/>
      <c r="AG147" s="13"/>
      <c r="AI147" s="6"/>
      <c r="AJ147" s="7"/>
      <c r="AK147" s="8"/>
      <c r="AL147" s="9"/>
      <c r="AN147" s="10"/>
      <c r="AO147" s="11"/>
      <c r="AP147" s="12"/>
      <c r="AQ147" s="13"/>
      <c r="AS147" s="6"/>
      <c r="AT147" s="7"/>
      <c r="AU147" s="8"/>
      <c r="AV147" s="9"/>
      <c r="AX147" s="10"/>
      <c r="AY147" s="11"/>
      <c r="AZ147" s="12"/>
      <c r="BA147" s="13"/>
      <c r="BC147" s="6"/>
      <c r="BD147" s="7"/>
      <c r="BE147" s="8"/>
      <c r="BF147" s="9"/>
      <c r="BG147" s="4"/>
      <c r="BH147" s="46">
        <f t="shared" si="4"/>
        <v>0</v>
      </c>
      <c r="BI147" s="47">
        <f t="shared" si="5"/>
        <v>0</v>
      </c>
    </row>
    <row r="148" spans="1:61" x14ac:dyDescent="0.25">
      <c r="A148" s="40" t="s">
        <v>307</v>
      </c>
      <c r="B148" s="41">
        <v>6</v>
      </c>
      <c r="C148" s="40" t="s">
        <v>66</v>
      </c>
      <c r="D148" t="s">
        <v>50</v>
      </c>
      <c r="E148" s="6"/>
      <c r="F148" s="7"/>
      <c r="G148" s="8"/>
      <c r="H148" s="9"/>
      <c r="J148" s="10"/>
      <c r="K148" s="11"/>
      <c r="L148" s="12"/>
      <c r="M148" s="13"/>
      <c r="O148" s="6"/>
      <c r="P148" s="7"/>
      <c r="Q148" s="8"/>
      <c r="R148" s="9"/>
      <c r="T148" s="10"/>
      <c r="U148" s="11"/>
      <c r="V148" s="12"/>
      <c r="W148" s="13"/>
      <c r="Y148" s="6"/>
      <c r="Z148" s="7"/>
      <c r="AA148" s="8"/>
      <c r="AB148" s="9"/>
      <c r="AD148" s="10"/>
      <c r="AE148" s="11"/>
      <c r="AF148" s="12"/>
      <c r="AG148" s="13"/>
      <c r="AI148" s="6"/>
      <c r="AJ148" s="7"/>
      <c r="AK148" s="8"/>
      <c r="AL148" s="9"/>
      <c r="AN148" s="10"/>
      <c r="AO148" s="11"/>
      <c r="AP148" s="12"/>
      <c r="AQ148" s="13"/>
      <c r="AS148" s="6"/>
      <c r="AT148" s="7"/>
      <c r="AU148" s="8"/>
      <c r="AV148" s="9"/>
      <c r="AX148" s="10"/>
      <c r="AY148" s="11"/>
      <c r="AZ148" s="12"/>
      <c r="BA148" s="13"/>
      <c r="BC148" s="6"/>
      <c r="BD148" s="7"/>
      <c r="BE148" s="8"/>
      <c r="BF148" s="9"/>
      <c r="BG148" s="4"/>
      <c r="BH148" s="46">
        <f t="shared" si="4"/>
        <v>0</v>
      </c>
      <c r="BI148" s="47">
        <f t="shared" si="5"/>
        <v>0</v>
      </c>
    </row>
    <row r="149" spans="1:61" x14ac:dyDescent="0.25">
      <c r="A149" s="40" t="s">
        <v>306</v>
      </c>
      <c r="B149" s="41">
        <v>6</v>
      </c>
      <c r="C149" s="40" t="s">
        <v>66</v>
      </c>
      <c r="D149" t="s">
        <v>50</v>
      </c>
      <c r="E149" s="6"/>
      <c r="F149" s="7"/>
      <c r="G149" s="8"/>
      <c r="H149" s="9"/>
      <c r="J149" s="10"/>
      <c r="K149" s="11"/>
      <c r="L149" s="12"/>
      <c r="M149" s="13"/>
      <c r="O149" s="6"/>
      <c r="P149" s="7"/>
      <c r="Q149" s="8"/>
      <c r="R149" s="9"/>
      <c r="T149" s="10"/>
      <c r="U149" s="11"/>
      <c r="V149" s="12"/>
      <c r="W149" s="13"/>
      <c r="Y149" s="6"/>
      <c r="Z149" s="7"/>
      <c r="AA149" s="8"/>
      <c r="AB149" s="9"/>
      <c r="AD149" s="10"/>
      <c r="AE149" s="11"/>
      <c r="AF149" s="12"/>
      <c r="AG149" s="13"/>
      <c r="AI149" s="6"/>
      <c r="AJ149" s="7"/>
      <c r="AK149" s="8"/>
      <c r="AL149" s="9"/>
      <c r="AN149" s="10"/>
      <c r="AO149" s="11"/>
      <c r="AP149" s="12"/>
      <c r="AQ149" s="13"/>
      <c r="AS149" s="6"/>
      <c r="AT149" s="7"/>
      <c r="AU149" s="8"/>
      <c r="AV149" s="9"/>
      <c r="AX149" s="10"/>
      <c r="AY149" s="11"/>
      <c r="AZ149" s="12"/>
      <c r="BA149" s="13"/>
      <c r="BC149" s="6"/>
      <c r="BD149" s="7"/>
      <c r="BE149" s="8"/>
      <c r="BF149" s="9"/>
      <c r="BG149" s="4"/>
      <c r="BH149" s="46">
        <f t="shared" si="4"/>
        <v>0</v>
      </c>
      <c r="BI149" s="47">
        <f t="shared" si="5"/>
        <v>0</v>
      </c>
    </row>
    <row r="150" spans="1:61" x14ac:dyDescent="0.25">
      <c r="A150" s="40" t="s">
        <v>305</v>
      </c>
      <c r="B150" s="41">
        <v>6</v>
      </c>
      <c r="C150" s="40" t="s">
        <v>66</v>
      </c>
      <c r="D150" t="s">
        <v>51</v>
      </c>
      <c r="E150" s="6"/>
      <c r="F150" s="7"/>
      <c r="G150" s="8"/>
      <c r="H150" s="9"/>
      <c r="J150" s="10"/>
      <c r="K150" s="11"/>
      <c r="L150" s="12"/>
      <c r="M150" s="13"/>
      <c r="O150" s="6"/>
      <c r="P150" s="7"/>
      <c r="Q150" s="8"/>
      <c r="R150" s="9"/>
      <c r="T150" s="10"/>
      <c r="U150" s="11"/>
      <c r="V150" s="12"/>
      <c r="W150" s="13"/>
      <c r="Y150" s="6"/>
      <c r="Z150" s="7"/>
      <c r="AA150" s="8"/>
      <c r="AB150" s="9"/>
      <c r="AD150" s="10"/>
      <c r="AE150" s="11"/>
      <c r="AF150" s="12"/>
      <c r="AG150" s="13"/>
      <c r="AI150" s="6"/>
      <c r="AJ150" s="7"/>
      <c r="AK150" s="8"/>
      <c r="AL150" s="9"/>
      <c r="AN150" s="10"/>
      <c r="AO150" s="11"/>
      <c r="AP150" s="12"/>
      <c r="AQ150" s="13"/>
      <c r="AS150" s="6"/>
      <c r="AT150" s="7"/>
      <c r="AU150" s="8"/>
      <c r="AV150" s="9"/>
      <c r="AX150" s="10"/>
      <c r="AY150" s="11"/>
      <c r="AZ150" s="12"/>
      <c r="BA150" s="13"/>
      <c r="BC150" s="6"/>
      <c r="BD150" s="7"/>
      <c r="BE150" s="8"/>
      <c r="BF150" s="9"/>
      <c r="BG150" s="4"/>
      <c r="BH150" s="46">
        <f t="shared" si="4"/>
        <v>0</v>
      </c>
      <c r="BI150" s="47">
        <f t="shared" si="5"/>
        <v>0</v>
      </c>
    </row>
    <row r="151" spans="1:61" x14ac:dyDescent="0.25">
      <c r="A151" s="40" t="s">
        <v>304</v>
      </c>
      <c r="B151" s="41">
        <v>6</v>
      </c>
      <c r="C151" s="40" t="s">
        <v>66</v>
      </c>
      <c r="D151" t="s">
        <v>51</v>
      </c>
      <c r="E151" s="6"/>
      <c r="F151" s="7"/>
      <c r="G151" s="8"/>
      <c r="H151" s="9"/>
      <c r="J151" s="10"/>
      <c r="K151" s="11"/>
      <c r="L151" s="12"/>
      <c r="M151" s="13"/>
      <c r="O151" s="6"/>
      <c r="P151" s="7"/>
      <c r="Q151" s="8"/>
      <c r="R151" s="9"/>
      <c r="T151" s="10"/>
      <c r="U151" s="11"/>
      <c r="V151" s="12"/>
      <c r="W151" s="13"/>
      <c r="Y151" s="6"/>
      <c r="Z151" s="7"/>
      <c r="AA151" s="8"/>
      <c r="AB151" s="9"/>
      <c r="AD151" s="10"/>
      <c r="AE151" s="11"/>
      <c r="AF151" s="12"/>
      <c r="AG151" s="13"/>
      <c r="AI151" s="6"/>
      <c r="AJ151" s="7"/>
      <c r="AK151" s="8"/>
      <c r="AL151" s="9"/>
      <c r="AN151" s="10"/>
      <c r="AO151" s="11"/>
      <c r="AP151" s="12"/>
      <c r="AQ151" s="13"/>
      <c r="AS151" s="6"/>
      <c r="AT151" s="7"/>
      <c r="AU151" s="8"/>
      <c r="AV151" s="9"/>
      <c r="AX151" s="10"/>
      <c r="AY151" s="11"/>
      <c r="AZ151" s="12"/>
      <c r="BA151" s="13"/>
      <c r="BC151" s="6"/>
      <c r="BD151" s="7"/>
      <c r="BE151" s="8"/>
      <c r="BF151" s="9"/>
      <c r="BG151" s="4"/>
      <c r="BH151" s="46">
        <f t="shared" si="4"/>
        <v>0</v>
      </c>
      <c r="BI151" s="47">
        <f t="shared" si="5"/>
        <v>0</v>
      </c>
    </row>
    <row r="152" spans="1:61" x14ac:dyDescent="0.25">
      <c r="A152" s="40" t="s">
        <v>303</v>
      </c>
      <c r="B152" s="41">
        <v>6</v>
      </c>
      <c r="C152" s="40" t="s">
        <v>66</v>
      </c>
      <c r="D152" t="s">
        <v>51</v>
      </c>
      <c r="E152" s="6"/>
      <c r="F152" s="7"/>
      <c r="G152" s="8"/>
      <c r="H152" s="9"/>
      <c r="J152" s="10"/>
      <c r="K152" s="11"/>
      <c r="L152" s="12"/>
      <c r="M152" s="13"/>
      <c r="O152" s="6"/>
      <c r="P152" s="7"/>
      <c r="Q152" s="8"/>
      <c r="R152" s="9"/>
      <c r="T152" s="10"/>
      <c r="U152" s="11"/>
      <c r="V152" s="12"/>
      <c r="W152" s="13"/>
      <c r="Y152" s="6"/>
      <c r="Z152" s="7"/>
      <c r="AA152" s="8"/>
      <c r="AB152" s="9"/>
      <c r="AD152" s="10"/>
      <c r="AE152" s="11"/>
      <c r="AF152" s="12"/>
      <c r="AG152" s="13"/>
      <c r="AI152" s="6"/>
      <c r="AJ152" s="7"/>
      <c r="AK152" s="8"/>
      <c r="AL152" s="9"/>
      <c r="AN152" s="10"/>
      <c r="AO152" s="11"/>
      <c r="AP152" s="12"/>
      <c r="AQ152" s="13"/>
      <c r="AS152" s="6"/>
      <c r="AT152" s="7"/>
      <c r="AU152" s="8"/>
      <c r="AV152" s="9"/>
      <c r="AX152" s="10"/>
      <c r="AY152" s="11"/>
      <c r="AZ152" s="12"/>
      <c r="BA152" s="13"/>
      <c r="BC152" s="6"/>
      <c r="BD152" s="7"/>
      <c r="BE152" s="8"/>
      <c r="BF152" s="9"/>
      <c r="BG152" s="4"/>
      <c r="BH152" s="46">
        <f t="shared" si="4"/>
        <v>0</v>
      </c>
      <c r="BI152" s="47">
        <f t="shared" si="5"/>
        <v>0</v>
      </c>
    </row>
    <row r="153" spans="1:61" x14ac:dyDescent="0.25">
      <c r="A153" s="40" t="s">
        <v>302</v>
      </c>
      <c r="B153" s="41">
        <v>8</v>
      </c>
      <c r="C153" s="40" t="s">
        <v>66</v>
      </c>
      <c r="D153" t="s">
        <v>57</v>
      </c>
      <c r="E153" s="6"/>
      <c r="F153" s="7"/>
      <c r="G153" s="8"/>
      <c r="H153" s="9"/>
      <c r="J153" s="10"/>
      <c r="K153" s="11"/>
      <c r="L153" s="12"/>
      <c r="M153" s="13"/>
      <c r="O153" s="6"/>
      <c r="P153" s="7"/>
      <c r="Q153" s="8"/>
      <c r="R153" s="9"/>
      <c r="T153" s="10"/>
      <c r="U153" s="11"/>
      <c r="V153" s="12"/>
      <c r="W153" s="13"/>
      <c r="Y153" s="6"/>
      <c r="Z153" s="7"/>
      <c r="AA153" s="8"/>
      <c r="AB153" s="9"/>
      <c r="AD153" s="10"/>
      <c r="AE153" s="11"/>
      <c r="AF153" s="12"/>
      <c r="AG153" s="13"/>
      <c r="AI153" s="6"/>
      <c r="AJ153" s="7"/>
      <c r="AK153" s="8"/>
      <c r="AL153" s="9"/>
      <c r="AN153" s="10"/>
      <c r="AO153" s="11"/>
      <c r="AP153" s="12"/>
      <c r="AQ153" s="13"/>
      <c r="AS153" s="6"/>
      <c r="AT153" s="7"/>
      <c r="AU153" s="8"/>
      <c r="AV153" s="9"/>
      <c r="AX153" s="10"/>
      <c r="AY153" s="11"/>
      <c r="AZ153" s="12"/>
      <c r="BA153" s="13"/>
      <c r="BC153" s="6"/>
      <c r="BD153" s="7"/>
      <c r="BE153" s="8"/>
      <c r="BF153" s="9"/>
      <c r="BG153" s="4"/>
      <c r="BH153" s="46">
        <f t="shared" si="4"/>
        <v>0</v>
      </c>
      <c r="BI153" s="47">
        <f t="shared" si="5"/>
        <v>0</v>
      </c>
    </row>
    <row r="154" spans="1:61" x14ac:dyDescent="0.25">
      <c r="A154" s="40" t="s">
        <v>301</v>
      </c>
      <c r="B154" s="41">
        <v>8</v>
      </c>
      <c r="C154" s="40" t="s">
        <v>66</v>
      </c>
      <c r="D154" t="s">
        <v>57</v>
      </c>
      <c r="E154" s="6"/>
      <c r="F154" s="7"/>
      <c r="G154" s="8"/>
      <c r="H154" s="9"/>
      <c r="J154" s="10"/>
      <c r="K154" s="11"/>
      <c r="L154" s="12"/>
      <c r="M154" s="13"/>
      <c r="O154" s="6"/>
      <c r="P154" s="7"/>
      <c r="Q154" s="8"/>
      <c r="R154" s="9"/>
      <c r="T154" s="10"/>
      <c r="U154" s="11"/>
      <c r="V154" s="12"/>
      <c r="W154" s="13"/>
      <c r="Y154" s="6"/>
      <c r="Z154" s="7"/>
      <c r="AA154" s="8"/>
      <c r="AB154" s="9"/>
      <c r="AD154" s="10"/>
      <c r="AE154" s="11"/>
      <c r="AF154" s="12"/>
      <c r="AG154" s="13"/>
      <c r="AI154" s="6"/>
      <c r="AJ154" s="7"/>
      <c r="AK154" s="8"/>
      <c r="AL154" s="9"/>
      <c r="AN154" s="10"/>
      <c r="AO154" s="11"/>
      <c r="AP154" s="12"/>
      <c r="AQ154" s="13"/>
      <c r="AS154" s="6"/>
      <c r="AT154" s="7"/>
      <c r="AU154" s="8"/>
      <c r="AV154" s="9"/>
      <c r="AX154" s="10"/>
      <c r="AY154" s="11"/>
      <c r="AZ154" s="12"/>
      <c r="BA154" s="13"/>
      <c r="BC154" s="6"/>
      <c r="BD154" s="7"/>
      <c r="BE154" s="8"/>
      <c r="BF154" s="9"/>
      <c r="BG154" s="4"/>
      <c r="BH154" s="46">
        <f t="shared" si="4"/>
        <v>0</v>
      </c>
      <c r="BI154" s="47">
        <f t="shared" si="5"/>
        <v>0</v>
      </c>
    </row>
    <row r="155" spans="1:61" x14ac:dyDescent="0.25">
      <c r="A155" s="40" t="s">
        <v>300</v>
      </c>
      <c r="B155" s="41">
        <v>8</v>
      </c>
      <c r="C155" s="40" t="s">
        <v>66</v>
      </c>
      <c r="D155" t="s">
        <v>57</v>
      </c>
      <c r="E155" s="6"/>
      <c r="F155" s="7"/>
      <c r="G155" s="8"/>
      <c r="H155" s="9"/>
      <c r="J155" s="10"/>
      <c r="K155" s="11"/>
      <c r="L155" s="12"/>
      <c r="M155" s="13"/>
      <c r="O155" s="6"/>
      <c r="P155" s="7"/>
      <c r="Q155" s="8"/>
      <c r="R155" s="9"/>
      <c r="T155" s="10"/>
      <c r="U155" s="11"/>
      <c r="V155" s="12"/>
      <c r="W155" s="13"/>
      <c r="Y155" s="6"/>
      <c r="Z155" s="7"/>
      <c r="AA155" s="8"/>
      <c r="AB155" s="9"/>
      <c r="AD155" s="10"/>
      <c r="AE155" s="11"/>
      <c r="AF155" s="12"/>
      <c r="AG155" s="13"/>
      <c r="AI155" s="6"/>
      <c r="AJ155" s="7"/>
      <c r="AK155" s="8"/>
      <c r="AL155" s="9"/>
      <c r="AN155" s="10"/>
      <c r="AO155" s="11"/>
      <c r="AP155" s="12"/>
      <c r="AQ155" s="13"/>
      <c r="AS155" s="6"/>
      <c r="AT155" s="7"/>
      <c r="AU155" s="8"/>
      <c r="AV155" s="9"/>
      <c r="AX155" s="10"/>
      <c r="AY155" s="11"/>
      <c r="AZ155" s="12"/>
      <c r="BA155" s="13"/>
      <c r="BC155" s="6"/>
      <c r="BD155" s="7"/>
      <c r="BE155" s="8"/>
      <c r="BF155" s="9"/>
      <c r="BG155" s="4"/>
      <c r="BH155" s="46">
        <f t="shared" si="4"/>
        <v>0</v>
      </c>
      <c r="BI155" s="47">
        <f t="shared" si="5"/>
        <v>0</v>
      </c>
    </row>
    <row r="156" spans="1:61" x14ac:dyDescent="0.25">
      <c r="A156" s="40" t="s">
        <v>299</v>
      </c>
      <c r="B156" s="41">
        <v>8</v>
      </c>
      <c r="C156" s="40" t="s">
        <v>66</v>
      </c>
      <c r="D156" t="s">
        <v>57</v>
      </c>
      <c r="E156" s="6"/>
      <c r="F156" s="7"/>
      <c r="G156" s="8"/>
      <c r="H156" s="9"/>
      <c r="J156" s="10"/>
      <c r="K156" s="11"/>
      <c r="L156" s="12"/>
      <c r="M156" s="13"/>
      <c r="O156" s="6"/>
      <c r="P156" s="7"/>
      <c r="Q156" s="8"/>
      <c r="R156" s="9"/>
      <c r="T156" s="10"/>
      <c r="U156" s="11"/>
      <c r="V156" s="12"/>
      <c r="W156" s="13"/>
      <c r="Y156" s="6"/>
      <c r="Z156" s="7"/>
      <c r="AA156" s="8"/>
      <c r="AB156" s="9"/>
      <c r="AD156" s="10"/>
      <c r="AE156" s="11"/>
      <c r="AF156" s="12"/>
      <c r="AG156" s="13"/>
      <c r="AI156" s="6"/>
      <c r="AJ156" s="7"/>
      <c r="AK156" s="8"/>
      <c r="AL156" s="9"/>
      <c r="AN156" s="10"/>
      <c r="AO156" s="11"/>
      <c r="AP156" s="12"/>
      <c r="AQ156" s="13"/>
      <c r="AS156" s="6"/>
      <c r="AT156" s="7"/>
      <c r="AU156" s="8"/>
      <c r="AV156" s="9"/>
      <c r="AX156" s="10"/>
      <c r="AY156" s="11"/>
      <c r="AZ156" s="12"/>
      <c r="BA156" s="13"/>
      <c r="BC156" s="6"/>
      <c r="BD156" s="7"/>
      <c r="BE156" s="8"/>
      <c r="BF156" s="9"/>
      <c r="BG156" s="4"/>
      <c r="BH156" s="46">
        <f t="shared" si="4"/>
        <v>0</v>
      </c>
      <c r="BI156" s="47">
        <f t="shared" si="5"/>
        <v>0</v>
      </c>
    </row>
    <row r="157" spans="1:61" x14ac:dyDescent="0.25">
      <c r="A157" s="40" t="s">
        <v>298</v>
      </c>
      <c r="B157" s="41">
        <v>8</v>
      </c>
      <c r="C157" s="40" t="s">
        <v>66</v>
      </c>
      <c r="D157" t="s">
        <v>57</v>
      </c>
      <c r="E157" s="6"/>
      <c r="F157" s="7"/>
      <c r="G157" s="8"/>
      <c r="H157" s="9"/>
      <c r="J157" s="10"/>
      <c r="K157" s="11"/>
      <c r="L157" s="12"/>
      <c r="M157" s="13"/>
      <c r="O157" s="6"/>
      <c r="P157" s="7"/>
      <c r="Q157" s="8"/>
      <c r="R157" s="9"/>
      <c r="T157" s="10"/>
      <c r="U157" s="11"/>
      <c r="V157" s="12"/>
      <c r="W157" s="13"/>
      <c r="Y157" s="6"/>
      <c r="Z157" s="7"/>
      <c r="AA157" s="8"/>
      <c r="AB157" s="9"/>
      <c r="AD157" s="10"/>
      <c r="AE157" s="11"/>
      <c r="AF157" s="12"/>
      <c r="AG157" s="13"/>
      <c r="AI157" s="6"/>
      <c r="AJ157" s="7"/>
      <c r="AK157" s="8"/>
      <c r="AL157" s="9"/>
      <c r="AN157" s="10"/>
      <c r="AO157" s="11"/>
      <c r="AP157" s="12"/>
      <c r="AQ157" s="13"/>
      <c r="AS157" s="6"/>
      <c r="AT157" s="7"/>
      <c r="AU157" s="8"/>
      <c r="AV157" s="9"/>
      <c r="AX157" s="10"/>
      <c r="AY157" s="11"/>
      <c r="AZ157" s="12"/>
      <c r="BA157" s="13"/>
      <c r="BC157" s="6"/>
      <c r="BD157" s="7"/>
      <c r="BE157" s="8"/>
      <c r="BF157" s="9"/>
      <c r="BG157" s="4"/>
      <c r="BH157" s="46">
        <f t="shared" si="4"/>
        <v>0</v>
      </c>
      <c r="BI157" s="47">
        <f t="shared" si="5"/>
        <v>0</v>
      </c>
    </row>
    <row r="158" spans="1:61" x14ac:dyDescent="0.25">
      <c r="A158" s="40" t="s">
        <v>297</v>
      </c>
      <c r="B158" s="41">
        <v>9</v>
      </c>
      <c r="C158" s="40" t="s">
        <v>66</v>
      </c>
      <c r="D158" t="s">
        <v>57</v>
      </c>
      <c r="E158" s="6"/>
      <c r="F158" s="7"/>
      <c r="G158" s="8"/>
      <c r="H158" s="9"/>
      <c r="J158" s="10"/>
      <c r="K158" s="11"/>
      <c r="L158" s="12"/>
      <c r="M158" s="13"/>
      <c r="O158" s="6"/>
      <c r="P158" s="7"/>
      <c r="Q158" s="8"/>
      <c r="R158" s="9"/>
      <c r="T158" s="10"/>
      <c r="U158" s="11"/>
      <c r="V158" s="12"/>
      <c r="W158" s="13"/>
      <c r="Y158" s="6"/>
      <c r="Z158" s="7"/>
      <c r="AA158" s="8"/>
      <c r="AB158" s="9"/>
      <c r="AD158" s="10"/>
      <c r="AE158" s="11"/>
      <c r="AF158" s="12"/>
      <c r="AG158" s="13"/>
      <c r="AI158" s="6"/>
      <c r="AJ158" s="7"/>
      <c r="AK158" s="8"/>
      <c r="AL158" s="9"/>
      <c r="AN158" s="10"/>
      <c r="AO158" s="11"/>
      <c r="AP158" s="12"/>
      <c r="AQ158" s="13"/>
      <c r="AS158" s="6"/>
      <c r="AT158" s="7"/>
      <c r="AU158" s="8"/>
      <c r="AV158" s="9"/>
      <c r="AX158" s="10"/>
      <c r="AY158" s="11"/>
      <c r="AZ158" s="12"/>
      <c r="BA158" s="13"/>
      <c r="BC158" s="6"/>
      <c r="BD158" s="7"/>
      <c r="BE158" s="8"/>
      <c r="BF158" s="9"/>
      <c r="BG158" s="4"/>
      <c r="BH158" s="46">
        <f t="shared" si="4"/>
        <v>0</v>
      </c>
      <c r="BI158" s="47">
        <f t="shared" si="5"/>
        <v>0</v>
      </c>
    </row>
    <row r="159" spans="1:61" x14ac:dyDescent="0.25">
      <c r="A159" s="40" t="s">
        <v>296</v>
      </c>
      <c r="B159" s="41">
        <v>9</v>
      </c>
      <c r="C159" s="40" t="s">
        <v>66</v>
      </c>
      <c r="D159" t="s">
        <v>57</v>
      </c>
      <c r="E159" s="6"/>
      <c r="F159" s="7"/>
      <c r="G159" s="8"/>
      <c r="H159" s="9"/>
      <c r="J159" s="10"/>
      <c r="K159" s="11"/>
      <c r="L159" s="12"/>
      <c r="M159" s="13"/>
      <c r="O159" s="6"/>
      <c r="P159" s="7"/>
      <c r="Q159" s="8"/>
      <c r="R159" s="9"/>
      <c r="T159" s="10"/>
      <c r="U159" s="11"/>
      <c r="V159" s="12"/>
      <c r="W159" s="13"/>
      <c r="Y159" s="6"/>
      <c r="Z159" s="7"/>
      <c r="AA159" s="8"/>
      <c r="AB159" s="9"/>
      <c r="AD159" s="10"/>
      <c r="AE159" s="11"/>
      <c r="AF159" s="12"/>
      <c r="AG159" s="13"/>
      <c r="AI159" s="6"/>
      <c r="AJ159" s="7"/>
      <c r="AK159" s="8"/>
      <c r="AL159" s="9"/>
      <c r="AN159" s="10"/>
      <c r="AO159" s="11"/>
      <c r="AP159" s="12"/>
      <c r="AQ159" s="13"/>
      <c r="AS159" s="6"/>
      <c r="AT159" s="7"/>
      <c r="AU159" s="8"/>
      <c r="AV159" s="9"/>
      <c r="AX159" s="10"/>
      <c r="AY159" s="11"/>
      <c r="AZ159" s="12"/>
      <c r="BA159" s="13"/>
      <c r="BC159" s="6"/>
      <c r="BD159" s="7"/>
      <c r="BE159" s="8"/>
      <c r="BF159" s="9"/>
      <c r="BG159" s="4"/>
      <c r="BH159" s="46">
        <f t="shared" si="4"/>
        <v>0</v>
      </c>
      <c r="BI159" s="47">
        <f t="shared" si="5"/>
        <v>0</v>
      </c>
    </row>
    <row r="160" spans="1:61" x14ac:dyDescent="0.25">
      <c r="A160" s="40" t="s">
        <v>295</v>
      </c>
      <c r="B160" s="41">
        <v>9</v>
      </c>
      <c r="C160" s="40" t="s">
        <v>66</v>
      </c>
      <c r="D160" t="s">
        <v>57</v>
      </c>
      <c r="E160" s="6"/>
      <c r="F160" s="7"/>
      <c r="G160" s="8"/>
      <c r="H160" s="9"/>
      <c r="J160" s="10"/>
      <c r="K160" s="11"/>
      <c r="L160" s="12"/>
      <c r="M160" s="13"/>
      <c r="O160" s="6"/>
      <c r="P160" s="7"/>
      <c r="Q160" s="8"/>
      <c r="R160" s="9"/>
      <c r="T160" s="10"/>
      <c r="U160" s="11"/>
      <c r="V160" s="12"/>
      <c r="W160" s="13"/>
      <c r="Y160" s="6"/>
      <c r="Z160" s="7"/>
      <c r="AA160" s="8"/>
      <c r="AB160" s="9"/>
      <c r="AD160" s="10"/>
      <c r="AE160" s="11"/>
      <c r="AF160" s="12"/>
      <c r="AG160" s="13"/>
      <c r="AI160" s="6"/>
      <c r="AJ160" s="7"/>
      <c r="AK160" s="8"/>
      <c r="AL160" s="9"/>
      <c r="AN160" s="10"/>
      <c r="AO160" s="11"/>
      <c r="AP160" s="12"/>
      <c r="AQ160" s="13"/>
      <c r="AS160" s="6"/>
      <c r="AT160" s="7"/>
      <c r="AU160" s="8"/>
      <c r="AV160" s="9"/>
      <c r="AX160" s="10"/>
      <c r="AY160" s="11"/>
      <c r="AZ160" s="12"/>
      <c r="BA160" s="13"/>
      <c r="BC160" s="6"/>
      <c r="BD160" s="7"/>
      <c r="BE160" s="8"/>
      <c r="BF160" s="9"/>
      <c r="BG160" s="4"/>
      <c r="BH160" s="46">
        <f t="shared" si="4"/>
        <v>0</v>
      </c>
      <c r="BI160" s="47">
        <f t="shared" si="5"/>
        <v>0</v>
      </c>
    </row>
    <row r="161" spans="1:61" x14ac:dyDescent="0.25">
      <c r="A161" s="40" t="s">
        <v>331</v>
      </c>
      <c r="B161" s="41">
        <v>9</v>
      </c>
      <c r="C161" s="40" t="s">
        <v>66</v>
      </c>
      <c r="D161" t="s">
        <v>57</v>
      </c>
      <c r="E161" s="6"/>
      <c r="F161" s="7"/>
      <c r="G161" s="8"/>
      <c r="H161" s="9"/>
      <c r="J161" s="10"/>
      <c r="K161" s="11"/>
      <c r="L161" s="12"/>
      <c r="M161" s="13"/>
      <c r="O161" s="6"/>
      <c r="P161" s="7"/>
      <c r="Q161" s="8"/>
      <c r="R161" s="9"/>
      <c r="T161" s="10"/>
      <c r="U161" s="11"/>
      <c r="V161" s="12"/>
      <c r="W161" s="13"/>
      <c r="Y161" s="6"/>
      <c r="Z161" s="7"/>
      <c r="AA161" s="8"/>
      <c r="AB161" s="9"/>
      <c r="AD161" s="10"/>
      <c r="AE161" s="11"/>
      <c r="AF161" s="12"/>
      <c r="AG161" s="13"/>
      <c r="AI161" s="6"/>
      <c r="AJ161" s="7"/>
      <c r="AK161" s="8"/>
      <c r="AL161" s="9"/>
      <c r="AN161" s="10"/>
      <c r="AO161" s="11"/>
      <c r="AP161" s="12"/>
      <c r="AQ161" s="13"/>
      <c r="AS161" s="6"/>
      <c r="AT161" s="7"/>
      <c r="AU161" s="8"/>
      <c r="AV161" s="9"/>
      <c r="AX161" s="10"/>
      <c r="AY161" s="11"/>
      <c r="AZ161" s="12"/>
      <c r="BA161" s="13"/>
      <c r="BC161" s="6"/>
      <c r="BD161" s="7"/>
      <c r="BE161" s="8"/>
      <c r="BF161" s="9"/>
      <c r="BG161" s="4"/>
      <c r="BH161" s="46">
        <f t="shared" si="4"/>
        <v>0</v>
      </c>
      <c r="BI161" s="47">
        <f t="shared" si="5"/>
        <v>0</v>
      </c>
    </row>
    <row r="162" spans="1:61" x14ac:dyDescent="0.25">
      <c r="A162" s="40" t="s">
        <v>331</v>
      </c>
      <c r="B162" s="41">
        <v>9</v>
      </c>
      <c r="C162" s="40" t="s">
        <v>66</v>
      </c>
      <c r="D162" t="s">
        <v>57</v>
      </c>
      <c r="E162" s="6"/>
      <c r="F162" s="7"/>
      <c r="G162" s="8"/>
      <c r="H162" s="9"/>
      <c r="J162" s="10"/>
      <c r="K162" s="11"/>
      <c r="L162" s="12"/>
      <c r="M162" s="13"/>
      <c r="O162" s="6"/>
      <c r="P162" s="7"/>
      <c r="Q162" s="8"/>
      <c r="R162" s="9"/>
      <c r="T162" s="10"/>
      <c r="U162" s="11"/>
      <c r="V162" s="12"/>
      <c r="W162" s="13"/>
      <c r="Y162" s="6"/>
      <c r="Z162" s="7"/>
      <c r="AA162" s="8"/>
      <c r="AB162" s="9"/>
      <c r="AD162" s="10"/>
      <c r="AE162" s="11"/>
      <c r="AF162" s="12"/>
      <c r="AG162" s="13"/>
      <c r="AI162" s="6"/>
      <c r="AJ162" s="7"/>
      <c r="AK162" s="8"/>
      <c r="AL162" s="9"/>
      <c r="AN162" s="10"/>
      <c r="AO162" s="11"/>
      <c r="AP162" s="12"/>
      <c r="AQ162" s="13"/>
      <c r="AS162" s="6"/>
      <c r="AT162" s="7"/>
      <c r="AU162" s="8"/>
      <c r="AV162" s="9"/>
      <c r="AX162" s="10"/>
      <c r="AY162" s="11"/>
      <c r="AZ162" s="12"/>
      <c r="BA162" s="13"/>
      <c r="BC162" s="6"/>
      <c r="BD162" s="7"/>
      <c r="BE162" s="8"/>
      <c r="BF162" s="9"/>
      <c r="BG162" s="4"/>
      <c r="BH162" s="46">
        <f t="shared" si="4"/>
        <v>0</v>
      </c>
      <c r="BI162" s="47">
        <f t="shared" si="5"/>
        <v>0</v>
      </c>
    </row>
    <row r="163" spans="1:61" x14ac:dyDescent="0.25">
      <c r="A163" s="40" t="s">
        <v>294</v>
      </c>
      <c r="B163" s="41">
        <v>1</v>
      </c>
      <c r="C163" s="40" t="s">
        <v>66</v>
      </c>
      <c r="D163" t="s">
        <v>62</v>
      </c>
      <c r="E163" s="6"/>
      <c r="F163" s="7"/>
      <c r="G163" s="8"/>
      <c r="H163" s="9"/>
      <c r="J163" s="10"/>
      <c r="K163" s="11"/>
      <c r="L163" s="12"/>
      <c r="M163" s="13"/>
      <c r="O163" s="6"/>
      <c r="P163" s="7"/>
      <c r="Q163" s="8"/>
      <c r="R163" s="9"/>
      <c r="T163" s="10"/>
      <c r="U163" s="11"/>
      <c r="V163" s="12"/>
      <c r="W163" s="13"/>
      <c r="Y163" s="6"/>
      <c r="Z163" s="7"/>
      <c r="AA163" s="8"/>
      <c r="AB163" s="9"/>
      <c r="AD163" s="10"/>
      <c r="AE163" s="11"/>
      <c r="AF163" s="12"/>
      <c r="AG163" s="13"/>
      <c r="AI163" s="6"/>
      <c r="AJ163" s="7"/>
      <c r="AK163" s="8"/>
      <c r="AL163" s="9"/>
      <c r="AN163" s="10"/>
      <c r="AO163" s="11"/>
      <c r="AP163" s="12"/>
      <c r="AQ163" s="13"/>
      <c r="AS163" s="6"/>
      <c r="AT163" s="7"/>
      <c r="AU163" s="8"/>
      <c r="AV163" s="9"/>
      <c r="AX163" s="10"/>
      <c r="AY163" s="11"/>
      <c r="AZ163" s="12"/>
      <c r="BA163" s="13"/>
      <c r="BC163" s="6"/>
      <c r="BD163" s="7"/>
      <c r="BE163" s="8"/>
      <c r="BF163" s="9"/>
      <c r="BG163" s="4"/>
      <c r="BH163" s="46">
        <f t="shared" si="4"/>
        <v>0</v>
      </c>
      <c r="BI163" s="47">
        <f t="shared" si="5"/>
        <v>0</v>
      </c>
    </row>
    <row r="164" spans="1:61" x14ac:dyDescent="0.25">
      <c r="A164" s="40" t="s">
        <v>293</v>
      </c>
      <c r="B164" s="41">
        <v>1</v>
      </c>
      <c r="C164" s="40" t="s">
        <v>66</v>
      </c>
      <c r="D164" t="s">
        <v>62</v>
      </c>
      <c r="E164" s="6"/>
      <c r="F164" s="7"/>
      <c r="G164" s="8"/>
      <c r="H164" s="9"/>
      <c r="J164" s="10"/>
      <c r="K164" s="11"/>
      <c r="L164" s="12"/>
      <c r="M164" s="13"/>
      <c r="O164" s="6"/>
      <c r="P164" s="7"/>
      <c r="Q164" s="8"/>
      <c r="R164" s="9"/>
      <c r="T164" s="10"/>
      <c r="U164" s="11"/>
      <c r="V164" s="12"/>
      <c r="W164" s="13"/>
      <c r="Y164" s="6"/>
      <c r="Z164" s="7"/>
      <c r="AA164" s="8"/>
      <c r="AB164" s="9"/>
      <c r="AD164" s="10"/>
      <c r="AE164" s="11"/>
      <c r="AF164" s="12"/>
      <c r="AG164" s="13"/>
      <c r="AI164" s="6"/>
      <c r="AJ164" s="7"/>
      <c r="AK164" s="8"/>
      <c r="AL164" s="9"/>
      <c r="AN164" s="10"/>
      <c r="AO164" s="11"/>
      <c r="AP164" s="12"/>
      <c r="AQ164" s="13"/>
      <c r="AS164" s="6"/>
      <c r="AT164" s="7"/>
      <c r="AU164" s="8"/>
      <c r="AV164" s="9"/>
      <c r="AX164" s="10"/>
      <c r="AY164" s="11"/>
      <c r="AZ164" s="12"/>
      <c r="BA164" s="13"/>
      <c r="BC164" s="6"/>
      <c r="BD164" s="7"/>
      <c r="BE164" s="8"/>
      <c r="BF164" s="9"/>
      <c r="BG164" s="4"/>
      <c r="BH164" s="46">
        <f t="shared" si="4"/>
        <v>0</v>
      </c>
      <c r="BI164" s="47">
        <f t="shared" si="5"/>
        <v>0</v>
      </c>
    </row>
    <row r="165" spans="1:61" x14ac:dyDescent="0.25">
      <c r="A165" s="40" t="s">
        <v>292</v>
      </c>
      <c r="B165" s="41">
        <v>1</v>
      </c>
      <c r="C165" s="40" t="s">
        <v>66</v>
      </c>
      <c r="D165" t="s">
        <v>62</v>
      </c>
      <c r="E165" s="6"/>
      <c r="F165" s="7"/>
      <c r="G165" s="8"/>
      <c r="H165" s="9"/>
      <c r="J165" s="10"/>
      <c r="K165" s="11"/>
      <c r="L165" s="12"/>
      <c r="M165" s="13"/>
      <c r="O165" s="6"/>
      <c r="P165" s="7"/>
      <c r="Q165" s="8"/>
      <c r="R165" s="9"/>
      <c r="T165" s="10"/>
      <c r="U165" s="11"/>
      <c r="V165" s="12"/>
      <c r="W165" s="13"/>
      <c r="Y165" s="6"/>
      <c r="Z165" s="7"/>
      <c r="AA165" s="8"/>
      <c r="AB165" s="9"/>
      <c r="AD165" s="10"/>
      <c r="AE165" s="11"/>
      <c r="AF165" s="12"/>
      <c r="AG165" s="13"/>
      <c r="AI165" s="6"/>
      <c r="AJ165" s="7"/>
      <c r="AK165" s="8"/>
      <c r="AL165" s="9"/>
      <c r="AN165" s="10"/>
      <c r="AO165" s="11"/>
      <c r="AP165" s="12"/>
      <c r="AQ165" s="13"/>
      <c r="AS165" s="6"/>
      <c r="AT165" s="7"/>
      <c r="AU165" s="8"/>
      <c r="AV165" s="9"/>
      <c r="AX165" s="10"/>
      <c r="AY165" s="11"/>
      <c r="AZ165" s="12"/>
      <c r="BA165" s="13"/>
      <c r="BC165" s="6"/>
      <c r="BD165" s="7"/>
      <c r="BE165" s="8"/>
      <c r="BF165" s="9"/>
      <c r="BG165" s="4"/>
      <c r="BH165" s="46">
        <f t="shared" si="4"/>
        <v>0</v>
      </c>
      <c r="BI165" s="47">
        <f t="shared" si="5"/>
        <v>0</v>
      </c>
    </row>
    <row r="166" spans="1:61" x14ac:dyDescent="0.25">
      <c r="A166" s="40" t="s">
        <v>330</v>
      </c>
      <c r="B166" s="41">
        <v>1</v>
      </c>
      <c r="C166" s="40" t="s">
        <v>66</v>
      </c>
      <c r="D166" t="s">
        <v>62</v>
      </c>
      <c r="E166" s="6"/>
      <c r="F166" s="7"/>
      <c r="G166" s="8"/>
      <c r="H166" s="9"/>
      <c r="J166" s="10"/>
      <c r="K166" s="11"/>
      <c r="L166" s="12"/>
      <c r="M166" s="13"/>
      <c r="O166" s="6"/>
      <c r="P166" s="7"/>
      <c r="Q166" s="8"/>
      <c r="R166" s="9"/>
      <c r="T166" s="10"/>
      <c r="U166" s="11"/>
      <c r="V166" s="12"/>
      <c r="W166" s="13"/>
      <c r="Y166" s="6"/>
      <c r="Z166" s="7"/>
      <c r="AA166" s="8"/>
      <c r="AB166" s="9"/>
      <c r="AD166" s="10"/>
      <c r="AE166" s="11"/>
      <c r="AF166" s="12"/>
      <c r="AG166" s="13"/>
      <c r="AI166" s="6"/>
      <c r="AJ166" s="7"/>
      <c r="AK166" s="8"/>
      <c r="AL166" s="9"/>
      <c r="AN166" s="10"/>
      <c r="AO166" s="11"/>
      <c r="AP166" s="12"/>
      <c r="AQ166" s="13"/>
      <c r="AS166" s="6"/>
      <c r="AT166" s="7"/>
      <c r="AU166" s="8"/>
      <c r="AV166" s="9"/>
      <c r="AX166" s="10"/>
      <c r="AY166" s="11"/>
      <c r="AZ166" s="12"/>
      <c r="BA166" s="13"/>
      <c r="BC166" s="6"/>
      <c r="BD166" s="7"/>
      <c r="BE166" s="8"/>
      <c r="BF166" s="9"/>
      <c r="BG166" s="4"/>
      <c r="BH166" s="46">
        <f t="shared" si="4"/>
        <v>0</v>
      </c>
      <c r="BI166" s="47">
        <f t="shared" si="5"/>
        <v>0</v>
      </c>
    </row>
    <row r="167" spans="1:61" x14ac:dyDescent="0.25">
      <c r="A167" s="40" t="s">
        <v>291</v>
      </c>
      <c r="B167" s="40" t="s">
        <v>53</v>
      </c>
      <c r="C167" s="40" t="s">
        <v>66</v>
      </c>
      <c r="D167" t="s">
        <v>62</v>
      </c>
      <c r="E167" s="6"/>
      <c r="F167" s="7"/>
      <c r="G167" s="8"/>
      <c r="H167" s="9"/>
      <c r="J167" s="10"/>
      <c r="K167" s="11"/>
      <c r="L167" s="12"/>
      <c r="M167" s="13"/>
      <c r="O167" s="6"/>
      <c r="P167" s="7"/>
      <c r="Q167" s="8"/>
      <c r="R167" s="9"/>
      <c r="T167" s="10"/>
      <c r="U167" s="11"/>
      <c r="V167" s="12"/>
      <c r="W167" s="13"/>
      <c r="Y167" s="6"/>
      <c r="Z167" s="7"/>
      <c r="AA167" s="8"/>
      <c r="AB167" s="9"/>
      <c r="AD167" s="10"/>
      <c r="AE167" s="11"/>
      <c r="AF167" s="12"/>
      <c r="AG167" s="13"/>
      <c r="AI167" s="6"/>
      <c r="AJ167" s="7"/>
      <c r="AK167" s="8"/>
      <c r="AL167" s="9"/>
      <c r="AN167" s="10"/>
      <c r="AO167" s="11"/>
      <c r="AP167" s="12"/>
      <c r="AQ167" s="13"/>
      <c r="AS167" s="6"/>
      <c r="AT167" s="7"/>
      <c r="AU167" s="8"/>
      <c r="AV167" s="9"/>
      <c r="AX167" s="10"/>
      <c r="AY167" s="11"/>
      <c r="AZ167" s="12"/>
      <c r="BA167" s="13"/>
      <c r="BC167" s="6"/>
      <c r="BD167" s="7"/>
      <c r="BE167" s="8"/>
      <c r="BF167" s="9"/>
      <c r="BG167" s="4"/>
      <c r="BH167" s="46">
        <f t="shared" si="4"/>
        <v>0</v>
      </c>
      <c r="BI167" s="47">
        <f t="shared" si="5"/>
        <v>0</v>
      </c>
    </row>
    <row r="168" spans="1:61" x14ac:dyDescent="0.25">
      <c r="A168" s="40" t="s">
        <v>290</v>
      </c>
      <c r="B168" s="40" t="s">
        <v>53</v>
      </c>
      <c r="C168" s="40" t="s">
        <v>66</v>
      </c>
      <c r="D168" t="s">
        <v>62</v>
      </c>
      <c r="E168" s="6"/>
      <c r="F168" s="7"/>
      <c r="G168" s="8"/>
      <c r="H168" s="9"/>
      <c r="J168" s="10"/>
      <c r="K168" s="11"/>
      <c r="L168" s="12"/>
      <c r="M168" s="13"/>
      <c r="O168" s="6"/>
      <c r="P168" s="7"/>
      <c r="Q168" s="8"/>
      <c r="R168" s="9"/>
      <c r="T168" s="10"/>
      <c r="U168" s="11"/>
      <c r="V168" s="12"/>
      <c r="W168" s="13"/>
      <c r="Y168" s="6"/>
      <c r="Z168" s="7"/>
      <c r="AA168" s="8"/>
      <c r="AB168" s="9"/>
      <c r="AD168" s="10"/>
      <c r="AE168" s="11"/>
      <c r="AF168" s="12"/>
      <c r="AG168" s="13"/>
      <c r="AI168" s="6"/>
      <c r="AJ168" s="7"/>
      <c r="AK168" s="8"/>
      <c r="AL168" s="9"/>
      <c r="AN168" s="10"/>
      <c r="AO168" s="11"/>
      <c r="AP168" s="12"/>
      <c r="AQ168" s="13"/>
      <c r="AS168" s="6"/>
      <c r="AT168" s="7"/>
      <c r="AU168" s="8"/>
      <c r="AV168" s="9"/>
      <c r="AX168" s="10"/>
      <c r="AY168" s="11"/>
      <c r="AZ168" s="12"/>
      <c r="BA168" s="13"/>
      <c r="BC168" s="6"/>
      <c r="BD168" s="7"/>
      <c r="BE168" s="8"/>
      <c r="BF168" s="9"/>
      <c r="BG168" s="4"/>
      <c r="BH168" s="46">
        <f t="shared" si="4"/>
        <v>0</v>
      </c>
      <c r="BI168" s="47">
        <f t="shared" si="5"/>
        <v>0</v>
      </c>
    </row>
    <row r="169" spans="1:61" x14ac:dyDescent="0.25">
      <c r="A169" s="40" t="s">
        <v>289</v>
      </c>
      <c r="B169" s="40" t="s">
        <v>53</v>
      </c>
      <c r="C169" s="40" t="s">
        <v>66</v>
      </c>
      <c r="D169" t="s">
        <v>54</v>
      </c>
      <c r="E169" s="6"/>
      <c r="F169" s="7"/>
      <c r="G169" s="8"/>
      <c r="H169" s="9"/>
      <c r="J169" s="10"/>
      <c r="K169" s="11"/>
      <c r="L169" s="12"/>
      <c r="M169" s="13"/>
      <c r="O169" s="6"/>
      <c r="P169" s="7"/>
      <c r="Q169" s="8"/>
      <c r="R169" s="9"/>
      <c r="T169" s="10"/>
      <c r="U169" s="11"/>
      <c r="V169" s="12"/>
      <c r="W169" s="13"/>
      <c r="Y169" s="6"/>
      <c r="Z169" s="7"/>
      <c r="AA169" s="8"/>
      <c r="AB169" s="9"/>
      <c r="AD169" s="10"/>
      <c r="AE169" s="11"/>
      <c r="AF169" s="12"/>
      <c r="AG169" s="13"/>
      <c r="AI169" s="6"/>
      <c r="AJ169" s="7"/>
      <c r="AK169" s="8"/>
      <c r="AL169" s="9"/>
      <c r="AN169" s="10"/>
      <c r="AO169" s="11"/>
      <c r="AP169" s="12"/>
      <c r="AQ169" s="13"/>
      <c r="AS169" s="6"/>
      <c r="AT169" s="7"/>
      <c r="AU169" s="8"/>
      <c r="AV169" s="9"/>
      <c r="AX169" s="10"/>
      <c r="AY169" s="11"/>
      <c r="AZ169" s="12"/>
      <c r="BA169" s="13"/>
      <c r="BC169" s="6"/>
      <c r="BD169" s="7"/>
      <c r="BE169" s="8"/>
      <c r="BF169" s="9"/>
      <c r="BG169" s="4"/>
      <c r="BH169" s="46">
        <f t="shared" si="4"/>
        <v>0</v>
      </c>
      <c r="BI169" s="47">
        <f t="shared" si="5"/>
        <v>0</v>
      </c>
    </row>
    <row r="170" spans="1:61" x14ac:dyDescent="0.25">
      <c r="A170" s="40" t="s">
        <v>288</v>
      </c>
      <c r="B170" s="40" t="s">
        <v>53</v>
      </c>
      <c r="C170" s="40" t="s">
        <v>66</v>
      </c>
      <c r="D170" t="s">
        <v>54</v>
      </c>
      <c r="E170" s="6"/>
      <c r="F170" s="7"/>
      <c r="G170" s="8"/>
      <c r="H170" s="9"/>
      <c r="J170" s="10"/>
      <c r="K170" s="11"/>
      <c r="L170" s="12"/>
      <c r="M170" s="13"/>
      <c r="O170" s="6"/>
      <c r="P170" s="7"/>
      <c r="Q170" s="8"/>
      <c r="R170" s="9"/>
      <c r="T170" s="10"/>
      <c r="U170" s="11"/>
      <c r="V170" s="12"/>
      <c r="W170" s="13"/>
      <c r="Y170" s="6"/>
      <c r="Z170" s="7"/>
      <c r="AA170" s="8"/>
      <c r="AB170" s="9"/>
      <c r="AD170" s="10"/>
      <c r="AE170" s="11"/>
      <c r="AF170" s="12"/>
      <c r="AG170" s="13"/>
      <c r="AI170" s="6"/>
      <c r="AJ170" s="7"/>
      <c r="AK170" s="8"/>
      <c r="AL170" s="9"/>
      <c r="AN170" s="10"/>
      <c r="AO170" s="11"/>
      <c r="AP170" s="12"/>
      <c r="AQ170" s="13"/>
      <c r="AS170" s="6"/>
      <c r="AT170" s="7"/>
      <c r="AU170" s="8"/>
      <c r="AV170" s="9"/>
      <c r="AX170" s="10"/>
      <c r="AY170" s="11"/>
      <c r="AZ170" s="12"/>
      <c r="BA170" s="13"/>
      <c r="BC170" s="6"/>
      <c r="BD170" s="7"/>
      <c r="BE170" s="8"/>
      <c r="BF170" s="9"/>
      <c r="BG170" s="4"/>
      <c r="BH170" s="46">
        <f t="shared" si="4"/>
        <v>0</v>
      </c>
      <c r="BI170" s="47">
        <f t="shared" si="5"/>
        <v>0</v>
      </c>
    </row>
    <row r="171" spans="1:61" x14ac:dyDescent="0.25">
      <c r="A171" s="40" t="s">
        <v>287</v>
      </c>
      <c r="B171" s="40" t="s">
        <v>53</v>
      </c>
      <c r="C171" s="40" t="s">
        <v>66</v>
      </c>
      <c r="D171" t="s">
        <v>54</v>
      </c>
      <c r="E171" s="6"/>
      <c r="F171" s="7"/>
      <c r="G171" s="8"/>
      <c r="H171" s="9"/>
      <c r="J171" s="10"/>
      <c r="K171" s="11"/>
      <c r="L171" s="12"/>
      <c r="M171" s="13"/>
      <c r="O171" s="6"/>
      <c r="P171" s="7"/>
      <c r="Q171" s="8"/>
      <c r="R171" s="9"/>
      <c r="T171" s="10"/>
      <c r="U171" s="11"/>
      <c r="V171" s="12"/>
      <c r="W171" s="13"/>
      <c r="Y171" s="6"/>
      <c r="Z171" s="7"/>
      <c r="AA171" s="8"/>
      <c r="AB171" s="9"/>
      <c r="AD171" s="10"/>
      <c r="AE171" s="11"/>
      <c r="AF171" s="12"/>
      <c r="AG171" s="13"/>
      <c r="AI171" s="6"/>
      <c r="AJ171" s="7"/>
      <c r="AK171" s="8"/>
      <c r="AL171" s="9"/>
      <c r="AN171" s="10"/>
      <c r="AO171" s="11"/>
      <c r="AP171" s="12"/>
      <c r="AQ171" s="13"/>
      <c r="AS171" s="6"/>
      <c r="AT171" s="7"/>
      <c r="AU171" s="8"/>
      <c r="AV171" s="9"/>
      <c r="AX171" s="10"/>
      <c r="AY171" s="11"/>
      <c r="AZ171" s="12"/>
      <c r="BA171" s="13"/>
      <c r="BC171" s="6"/>
      <c r="BD171" s="7"/>
      <c r="BE171" s="8"/>
      <c r="BF171" s="9"/>
      <c r="BG171" s="4"/>
      <c r="BH171" s="46">
        <f t="shared" si="4"/>
        <v>0</v>
      </c>
      <c r="BI171" s="47">
        <f t="shared" si="5"/>
        <v>0</v>
      </c>
    </row>
    <row r="172" spans="1:61" x14ac:dyDescent="0.25">
      <c r="A172" s="40" t="s">
        <v>286</v>
      </c>
      <c r="B172" s="40">
        <v>7</v>
      </c>
      <c r="C172" s="40" t="s">
        <v>66</v>
      </c>
      <c r="E172" s="6"/>
      <c r="F172" s="7"/>
      <c r="G172" s="8"/>
      <c r="H172" s="9"/>
      <c r="J172" s="10"/>
      <c r="K172" s="11"/>
      <c r="L172" s="12"/>
      <c r="M172" s="13"/>
      <c r="O172" s="6"/>
      <c r="P172" s="7"/>
      <c r="Q172" s="8"/>
      <c r="R172" s="9"/>
      <c r="T172" s="10"/>
      <c r="U172" s="11"/>
      <c r="V172" s="12"/>
      <c r="W172" s="13"/>
      <c r="Y172" s="6"/>
      <c r="Z172" s="7"/>
      <c r="AA172" s="8"/>
      <c r="AB172" s="9"/>
      <c r="AD172" s="10"/>
      <c r="AE172" s="11"/>
      <c r="AF172" s="12"/>
      <c r="AG172" s="13"/>
      <c r="AI172" s="6"/>
      <c r="AJ172" s="7"/>
      <c r="AK172" s="8"/>
      <c r="AL172" s="9"/>
      <c r="AN172" s="10"/>
      <c r="AO172" s="11"/>
      <c r="AP172" s="12"/>
      <c r="AQ172" s="13"/>
      <c r="AS172" s="6"/>
      <c r="AT172" s="7"/>
      <c r="AU172" s="8"/>
      <c r="AV172" s="9"/>
      <c r="AX172" s="10"/>
      <c r="AY172" s="11"/>
      <c r="AZ172" s="12"/>
      <c r="BA172" s="13"/>
      <c r="BC172" s="6"/>
      <c r="BD172" s="7"/>
      <c r="BE172" s="8"/>
      <c r="BF172" s="9"/>
      <c r="BG172" s="4"/>
      <c r="BH172" s="46">
        <f t="shared" si="4"/>
        <v>0</v>
      </c>
      <c r="BI172" s="47">
        <f t="shared" si="5"/>
        <v>0</v>
      </c>
    </row>
    <row r="173" spans="1:61" x14ac:dyDescent="0.25">
      <c r="A173" s="40" t="s">
        <v>285</v>
      </c>
      <c r="B173" s="40">
        <v>7</v>
      </c>
      <c r="C173" s="40" t="s">
        <v>66</v>
      </c>
      <c r="E173" s="6"/>
      <c r="F173" s="7"/>
      <c r="G173" s="8"/>
      <c r="H173" s="9"/>
      <c r="J173" s="10"/>
      <c r="K173" s="11"/>
      <c r="L173" s="12"/>
      <c r="M173" s="13"/>
      <c r="O173" s="6"/>
      <c r="P173" s="7"/>
      <c r="Q173" s="8"/>
      <c r="R173" s="9"/>
      <c r="T173" s="10"/>
      <c r="U173" s="11"/>
      <c r="V173" s="12"/>
      <c r="W173" s="13"/>
      <c r="Y173" s="6"/>
      <c r="Z173" s="7"/>
      <c r="AA173" s="8"/>
      <c r="AB173" s="9"/>
      <c r="AD173" s="10"/>
      <c r="AE173" s="11"/>
      <c r="AF173" s="12"/>
      <c r="AG173" s="13"/>
      <c r="AI173" s="6"/>
      <c r="AJ173" s="7"/>
      <c r="AK173" s="8"/>
      <c r="AL173" s="9"/>
      <c r="AN173" s="10"/>
      <c r="AO173" s="11"/>
      <c r="AP173" s="12"/>
      <c r="AQ173" s="13"/>
      <c r="AS173" s="6"/>
      <c r="AT173" s="7"/>
      <c r="AU173" s="8"/>
      <c r="AV173" s="9"/>
      <c r="AX173" s="10"/>
      <c r="AY173" s="11"/>
      <c r="AZ173" s="12"/>
      <c r="BA173" s="13"/>
      <c r="BC173" s="6"/>
      <c r="BD173" s="7"/>
      <c r="BE173" s="8"/>
      <c r="BF173" s="9"/>
      <c r="BG173" s="4"/>
      <c r="BH173" s="46">
        <f t="shared" si="4"/>
        <v>0</v>
      </c>
      <c r="BI173" s="47">
        <f t="shared" si="5"/>
        <v>0</v>
      </c>
    </row>
    <row r="174" spans="1:61" x14ac:dyDescent="0.25">
      <c r="A174" s="40" t="s">
        <v>284</v>
      </c>
      <c r="B174" s="40">
        <v>7</v>
      </c>
      <c r="C174" s="40" t="s">
        <v>66</v>
      </c>
      <c r="E174" s="6"/>
      <c r="F174" s="7"/>
      <c r="G174" s="8"/>
      <c r="H174" s="9"/>
      <c r="J174" s="10"/>
      <c r="K174" s="11"/>
      <c r="L174" s="12"/>
      <c r="M174" s="13"/>
      <c r="O174" s="6"/>
      <c r="P174" s="7"/>
      <c r="Q174" s="8"/>
      <c r="R174" s="9"/>
      <c r="T174" s="10"/>
      <c r="U174" s="11"/>
      <c r="V174" s="12"/>
      <c r="W174" s="13"/>
      <c r="Y174" s="6"/>
      <c r="Z174" s="7"/>
      <c r="AA174" s="8"/>
      <c r="AB174" s="9"/>
      <c r="AD174" s="10"/>
      <c r="AE174" s="11"/>
      <c r="AF174" s="12"/>
      <c r="AG174" s="13"/>
      <c r="AI174" s="6"/>
      <c r="AJ174" s="7"/>
      <c r="AK174" s="8"/>
      <c r="AL174" s="9"/>
      <c r="AN174" s="10"/>
      <c r="AO174" s="11"/>
      <c r="AP174" s="12"/>
      <c r="AQ174" s="13"/>
      <c r="AS174" s="6"/>
      <c r="AT174" s="7"/>
      <c r="AU174" s="8"/>
      <c r="AV174" s="9"/>
      <c r="AX174" s="10"/>
      <c r="AY174" s="11"/>
      <c r="AZ174" s="12"/>
      <c r="BA174" s="13"/>
      <c r="BC174" s="6"/>
      <c r="BD174" s="7"/>
      <c r="BE174" s="8"/>
      <c r="BF174" s="9"/>
      <c r="BG174" s="4"/>
      <c r="BH174" s="46">
        <f t="shared" si="4"/>
        <v>0</v>
      </c>
      <c r="BI174" s="47">
        <f t="shared" si="5"/>
        <v>0</v>
      </c>
    </row>
    <row r="175" spans="1:61" x14ac:dyDescent="0.25">
      <c r="A175" s="40" t="s">
        <v>336</v>
      </c>
      <c r="B175" s="40">
        <v>7</v>
      </c>
      <c r="C175" s="40" t="s">
        <v>66</v>
      </c>
      <c r="E175" s="6"/>
      <c r="F175" s="7"/>
      <c r="G175" s="8"/>
      <c r="H175" s="9"/>
      <c r="J175" s="10"/>
      <c r="K175" s="11"/>
      <c r="L175" s="12"/>
      <c r="M175" s="13"/>
      <c r="O175" s="6"/>
      <c r="P175" s="7"/>
      <c r="Q175" s="8"/>
      <c r="R175" s="9"/>
      <c r="T175" s="10"/>
      <c r="U175" s="11"/>
      <c r="V175" s="12"/>
      <c r="W175" s="13"/>
      <c r="Y175" s="6"/>
      <c r="Z175" s="7"/>
      <c r="AA175" s="8"/>
      <c r="AB175" s="9"/>
      <c r="AD175" s="10"/>
      <c r="AE175" s="11"/>
      <c r="AF175" s="12"/>
      <c r="AG175" s="13"/>
      <c r="AI175" s="6"/>
      <c r="AJ175" s="7"/>
      <c r="AK175" s="8"/>
      <c r="AL175" s="9"/>
      <c r="AN175" s="10"/>
      <c r="AO175" s="11"/>
      <c r="AP175" s="12"/>
      <c r="AQ175" s="13"/>
      <c r="AS175" s="6"/>
      <c r="AT175" s="7"/>
      <c r="AU175" s="8"/>
      <c r="AV175" s="9"/>
      <c r="AX175" s="10"/>
      <c r="AY175" s="11"/>
      <c r="AZ175" s="12"/>
      <c r="BA175" s="13"/>
      <c r="BC175" s="6"/>
      <c r="BD175" s="7"/>
      <c r="BE175" s="8"/>
      <c r="BF175" s="9"/>
      <c r="BG175" s="4"/>
      <c r="BH175" s="46">
        <f t="shared" si="4"/>
        <v>0</v>
      </c>
      <c r="BI175" s="47">
        <f t="shared" si="5"/>
        <v>0</v>
      </c>
    </row>
    <row r="176" spans="1:61" x14ac:dyDescent="0.25">
      <c r="A176" s="40" t="s">
        <v>283</v>
      </c>
      <c r="B176" s="40">
        <v>8</v>
      </c>
      <c r="C176" s="40" t="s">
        <v>66</v>
      </c>
      <c r="E176" s="6"/>
      <c r="F176" s="7"/>
      <c r="G176" s="8"/>
      <c r="H176" s="9"/>
      <c r="J176" s="10"/>
      <c r="K176" s="11"/>
      <c r="L176" s="12"/>
      <c r="M176" s="13"/>
      <c r="O176" s="6"/>
      <c r="P176" s="7"/>
      <c r="Q176" s="8"/>
      <c r="R176" s="9"/>
      <c r="T176" s="10"/>
      <c r="U176" s="11"/>
      <c r="V176" s="12"/>
      <c r="W176" s="13"/>
      <c r="Y176" s="6"/>
      <c r="Z176" s="7"/>
      <c r="AA176" s="8"/>
      <c r="AB176" s="9"/>
      <c r="AD176" s="10"/>
      <c r="AE176" s="11"/>
      <c r="AF176" s="12"/>
      <c r="AG176" s="13"/>
      <c r="AI176" s="6"/>
      <c r="AJ176" s="7"/>
      <c r="AK176" s="8"/>
      <c r="AL176" s="9"/>
      <c r="AN176" s="10"/>
      <c r="AO176" s="11"/>
      <c r="AP176" s="12"/>
      <c r="AQ176" s="13"/>
      <c r="AS176" s="6"/>
      <c r="AT176" s="7"/>
      <c r="AU176" s="8"/>
      <c r="AV176" s="9"/>
      <c r="AX176" s="10"/>
      <c r="AY176" s="11"/>
      <c r="AZ176" s="12"/>
      <c r="BA176" s="13"/>
      <c r="BC176" s="6"/>
      <c r="BD176" s="7"/>
      <c r="BE176" s="8"/>
      <c r="BF176" s="9"/>
      <c r="BG176" s="4"/>
      <c r="BH176" s="46">
        <f t="shared" si="4"/>
        <v>0</v>
      </c>
      <c r="BI176" s="47">
        <f t="shared" si="5"/>
        <v>0</v>
      </c>
    </row>
    <row r="177" spans="1:61" x14ac:dyDescent="0.25">
      <c r="A177" s="40" t="s">
        <v>337</v>
      </c>
      <c r="B177" s="40">
        <v>8</v>
      </c>
      <c r="C177" s="40" t="s">
        <v>66</v>
      </c>
      <c r="E177" s="6"/>
      <c r="F177" s="7"/>
      <c r="G177" s="8"/>
      <c r="H177" s="9"/>
      <c r="J177" s="10"/>
      <c r="K177" s="11"/>
      <c r="L177" s="12"/>
      <c r="M177" s="13"/>
      <c r="O177" s="6"/>
      <c r="P177" s="7"/>
      <c r="Q177" s="8"/>
      <c r="R177" s="9"/>
      <c r="T177" s="10"/>
      <c r="U177" s="11"/>
      <c r="V177" s="12"/>
      <c r="W177" s="13"/>
      <c r="Y177" s="6"/>
      <c r="Z177" s="7"/>
      <c r="AA177" s="8"/>
      <c r="AB177" s="9"/>
      <c r="AD177" s="10"/>
      <c r="AE177" s="11"/>
      <c r="AF177" s="12"/>
      <c r="AG177" s="13"/>
      <c r="AI177" s="6"/>
      <c r="AJ177" s="7"/>
      <c r="AK177" s="8"/>
      <c r="AL177" s="9"/>
      <c r="AN177" s="10"/>
      <c r="AO177" s="11"/>
      <c r="AP177" s="12"/>
      <c r="AQ177" s="13"/>
      <c r="AS177" s="6"/>
      <c r="AT177" s="7"/>
      <c r="AU177" s="8"/>
      <c r="AV177" s="9"/>
      <c r="AX177" s="10"/>
      <c r="AY177" s="11"/>
      <c r="AZ177" s="12"/>
      <c r="BA177" s="13"/>
      <c r="BC177" s="6"/>
      <c r="BD177" s="7"/>
      <c r="BE177" s="8"/>
      <c r="BF177" s="9"/>
      <c r="BG177" s="4"/>
      <c r="BH177" s="46">
        <f t="shared" si="4"/>
        <v>0</v>
      </c>
      <c r="BI177" s="47">
        <f t="shared" si="5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8117-12A2-435A-BD63-4BC13C1CEFED}">
  <dimension ref="A1:BI241"/>
  <sheetViews>
    <sheetView tabSelected="1" topLeftCell="A156" workbookViewId="0">
      <pane xSplit="1" topLeftCell="AG1" activePane="topRight" state="frozen"/>
      <selection pane="topRight" activeCell="AJ166" sqref="AJ166"/>
    </sheetView>
  </sheetViews>
  <sheetFormatPr defaultRowHeight="15" x14ac:dyDescent="0.25"/>
  <cols>
    <col min="1" max="1" width="25.85546875" customWidth="1"/>
    <col min="2" max="2" width="19.140625" bestFit="1" customWidth="1"/>
    <col min="3" max="3" width="8.140625" bestFit="1" customWidth="1"/>
    <col min="4" max="4" width="10.42578125" bestFit="1" customWidth="1"/>
    <col min="9" max="9" width="1.7109375" style="4" customWidth="1"/>
    <col min="14" max="14" width="1.85546875" style="4" customWidth="1"/>
    <col min="19" max="19" width="1.85546875" style="4" customWidth="1"/>
    <col min="24" max="24" width="2.140625" style="4" customWidth="1"/>
    <col min="29" max="29" width="2" style="4" customWidth="1"/>
    <col min="34" max="34" width="1.5703125" style="4" customWidth="1"/>
    <col min="39" max="39" width="2" style="4" customWidth="1"/>
    <col min="44" max="44" width="1.42578125" style="4" customWidth="1"/>
    <col min="49" max="49" width="1.7109375" style="4" customWidth="1"/>
    <col min="54" max="54" width="1.85546875" style="4" customWidth="1"/>
    <col min="55" max="55" width="8.140625" style="46" bestFit="1" customWidth="1"/>
    <col min="56" max="56" width="10.5703125" style="47" bestFit="1" customWidth="1"/>
    <col min="60" max="60" width="14.140625" bestFit="1" customWidth="1"/>
    <col min="61" max="61" width="22.140625" bestFit="1" customWidth="1"/>
  </cols>
  <sheetData>
    <row r="1" spans="1:61" ht="23.25" x14ac:dyDescent="0.35">
      <c r="A1" s="3" t="s">
        <v>80</v>
      </c>
    </row>
    <row r="2" spans="1:61" x14ac:dyDescent="0.25">
      <c r="B2" s="2" t="s">
        <v>13</v>
      </c>
      <c r="D2" s="2">
        <v>0.3</v>
      </c>
      <c r="F2" s="2"/>
      <c r="G2" s="2"/>
      <c r="H2" s="2"/>
      <c r="I2" s="5"/>
      <c r="K2" s="2"/>
      <c r="L2" s="2"/>
      <c r="M2" s="2"/>
      <c r="N2" s="5"/>
      <c r="P2" s="2"/>
      <c r="Q2" s="2"/>
    </row>
    <row r="3" spans="1:61" x14ac:dyDescent="0.25">
      <c r="C3" s="1"/>
      <c r="E3" s="16" t="s">
        <v>339</v>
      </c>
      <c r="F3" s="16"/>
      <c r="G3" s="16"/>
      <c r="H3" s="16"/>
      <c r="J3" s="14" t="s">
        <v>3</v>
      </c>
      <c r="K3" s="14"/>
      <c r="L3" s="14"/>
      <c r="M3" s="14"/>
      <c r="N3" s="15"/>
      <c r="O3" s="16" t="s">
        <v>4</v>
      </c>
      <c r="P3" s="16"/>
      <c r="Q3" s="16"/>
      <c r="R3" s="16"/>
      <c r="S3" s="15"/>
      <c r="T3" s="14" t="s">
        <v>5</v>
      </c>
      <c r="U3" s="14"/>
      <c r="V3" s="14"/>
      <c r="W3" s="14"/>
      <c r="X3" s="15"/>
      <c r="Y3" s="16" t="s">
        <v>6</v>
      </c>
      <c r="Z3" s="16"/>
      <c r="AA3" s="16"/>
      <c r="AB3" s="16"/>
      <c r="AC3" s="15"/>
      <c r="AD3" s="14" t="s">
        <v>7</v>
      </c>
      <c r="AE3" s="14"/>
      <c r="AF3" s="14"/>
      <c r="AG3" s="14"/>
      <c r="AH3" s="15"/>
      <c r="AI3" s="16" t="s">
        <v>8</v>
      </c>
      <c r="AJ3" s="16"/>
      <c r="AK3" s="16"/>
      <c r="AL3" s="16"/>
      <c r="AM3" s="15"/>
      <c r="AN3" s="14" t="s">
        <v>9</v>
      </c>
      <c r="AO3" s="14"/>
      <c r="AP3" s="14"/>
      <c r="AQ3" s="14"/>
      <c r="AR3" s="15"/>
      <c r="AS3" s="16" t="s">
        <v>10</v>
      </c>
      <c r="AT3" s="16"/>
      <c r="AU3" s="16"/>
      <c r="AV3" s="16"/>
      <c r="AW3" s="15"/>
      <c r="AX3" s="14" t="s">
        <v>11</v>
      </c>
      <c r="AY3" s="14"/>
      <c r="AZ3" s="14"/>
      <c r="BA3" s="14"/>
      <c r="BB3" s="15"/>
      <c r="BC3" s="16" t="s">
        <v>12</v>
      </c>
      <c r="BD3" s="16"/>
      <c r="BE3" s="16"/>
      <c r="BF3" s="16"/>
      <c r="BG3" s="15"/>
      <c r="BH3" s="48"/>
      <c r="BI3" s="47"/>
    </row>
    <row r="4" spans="1:61" x14ac:dyDescent="0.25">
      <c r="A4" t="s">
        <v>0</v>
      </c>
      <c r="B4" t="s">
        <v>68</v>
      </c>
      <c r="C4" t="s">
        <v>1</v>
      </c>
      <c r="D4" t="s">
        <v>2</v>
      </c>
      <c r="E4" s="21" t="s">
        <v>81</v>
      </c>
      <c r="F4" s="22" t="s">
        <v>82</v>
      </c>
      <c r="G4" s="23" t="s">
        <v>83</v>
      </c>
      <c r="H4" s="24" t="s">
        <v>84</v>
      </c>
      <c r="J4" s="17" t="s">
        <v>81</v>
      </c>
      <c r="K4" s="18" t="s">
        <v>82</v>
      </c>
      <c r="L4" s="19" t="s">
        <v>83</v>
      </c>
      <c r="M4" s="20" t="s">
        <v>84</v>
      </c>
      <c r="N4" s="15"/>
      <c r="O4" s="21" t="s">
        <v>81</v>
      </c>
      <c r="P4" s="22" t="s">
        <v>82</v>
      </c>
      <c r="Q4" s="23" t="s">
        <v>83</v>
      </c>
      <c r="R4" s="24" t="s">
        <v>84</v>
      </c>
      <c r="S4" s="15"/>
      <c r="T4" s="17" t="s">
        <v>81</v>
      </c>
      <c r="U4" s="18" t="s">
        <v>82</v>
      </c>
      <c r="V4" s="19" t="s">
        <v>83</v>
      </c>
      <c r="W4" s="20" t="s">
        <v>84</v>
      </c>
      <c r="X4" s="15"/>
      <c r="Y4" s="21" t="s">
        <v>81</v>
      </c>
      <c r="Z4" s="22" t="s">
        <v>82</v>
      </c>
      <c r="AA4" s="23" t="s">
        <v>83</v>
      </c>
      <c r="AB4" s="24" t="s">
        <v>84</v>
      </c>
      <c r="AC4" s="15"/>
      <c r="AD4" s="17" t="s">
        <v>81</v>
      </c>
      <c r="AE4" s="18" t="s">
        <v>82</v>
      </c>
      <c r="AF4" s="19" t="s">
        <v>83</v>
      </c>
      <c r="AG4" s="20" t="s">
        <v>84</v>
      </c>
      <c r="AH4" s="15"/>
      <c r="AI4" s="21" t="s">
        <v>81</v>
      </c>
      <c r="AJ4" s="22" t="s">
        <v>82</v>
      </c>
      <c r="AK4" s="23" t="s">
        <v>83</v>
      </c>
      <c r="AL4" s="24" t="s">
        <v>84</v>
      </c>
      <c r="AM4" s="15"/>
      <c r="AN4" s="17" t="s">
        <v>81</v>
      </c>
      <c r="AO4" s="18" t="s">
        <v>82</v>
      </c>
      <c r="AP4" s="19" t="s">
        <v>83</v>
      </c>
      <c r="AQ4" s="20" t="s">
        <v>84</v>
      </c>
      <c r="AR4" s="15"/>
      <c r="AS4" s="21" t="s">
        <v>81</v>
      </c>
      <c r="AT4" s="22" t="s">
        <v>82</v>
      </c>
      <c r="AU4" s="23" t="s">
        <v>83</v>
      </c>
      <c r="AV4" s="24" t="s">
        <v>84</v>
      </c>
      <c r="AW4" s="15"/>
      <c r="AX4" s="17" t="s">
        <v>81</v>
      </c>
      <c r="AY4" s="18" t="s">
        <v>82</v>
      </c>
      <c r="AZ4" s="19" t="s">
        <v>83</v>
      </c>
      <c r="BA4" s="20" t="s">
        <v>84</v>
      </c>
      <c r="BB4" s="15"/>
      <c r="BC4" s="21" t="s">
        <v>81</v>
      </c>
      <c r="BD4" s="22" t="s">
        <v>82</v>
      </c>
      <c r="BE4" s="23" t="s">
        <v>83</v>
      </c>
      <c r="BF4" s="24" t="s">
        <v>84</v>
      </c>
      <c r="BG4" s="15"/>
      <c r="BH4" s="48" t="s">
        <v>167</v>
      </c>
      <c r="BI4" s="49" t="s">
        <v>168</v>
      </c>
    </row>
    <row r="5" spans="1:61" x14ac:dyDescent="0.25">
      <c r="A5" s="44" t="s">
        <v>228</v>
      </c>
      <c r="B5" s="45">
        <v>1</v>
      </c>
      <c r="C5" s="44" t="s">
        <v>49</v>
      </c>
      <c r="D5" t="s">
        <v>52</v>
      </c>
      <c r="E5" s="6"/>
      <c r="F5" s="7"/>
      <c r="G5" s="8"/>
      <c r="H5" s="9"/>
      <c r="J5" s="10"/>
      <c r="K5" s="11"/>
      <c r="L5" s="12"/>
      <c r="M5" s="13"/>
      <c r="O5" s="6"/>
      <c r="P5" s="7"/>
      <c r="Q5" s="8"/>
      <c r="R5" s="9">
        <v>3</v>
      </c>
      <c r="T5" s="10"/>
      <c r="U5" s="11"/>
      <c r="V5" s="12"/>
      <c r="W5" s="13"/>
      <c r="Y5" s="6"/>
      <c r="Z5" s="7"/>
      <c r="AA5" s="8"/>
      <c r="AB5" s="9"/>
      <c r="AD5" s="10"/>
      <c r="AE5" s="11"/>
      <c r="AF5" s="12"/>
      <c r="AG5" s="13">
        <v>1</v>
      </c>
      <c r="AI5" s="6"/>
      <c r="AJ5" s="7"/>
      <c r="AK5" s="8"/>
      <c r="AL5" s="9"/>
      <c r="AN5" s="10"/>
      <c r="AO5" s="11"/>
      <c r="AP5" s="12"/>
      <c r="AQ5" s="13"/>
      <c r="AS5" s="6"/>
      <c r="AT5" s="7"/>
      <c r="AU5" s="8"/>
      <c r="AV5" s="9"/>
      <c r="AX5" s="10"/>
      <c r="AY5" s="11"/>
      <c r="AZ5" s="12"/>
      <c r="BA5" s="13"/>
      <c r="BC5" s="6"/>
      <c r="BD5" s="7"/>
      <c r="BE5" s="8"/>
      <c r="BF5" s="9"/>
      <c r="BG5" s="4"/>
      <c r="BH5" s="46">
        <f>SUM(E5:BF5)</f>
        <v>4</v>
      </c>
      <c r="BI5" s="47">
        <f>(SUM(E5:BG5)*$D$2)</f>
        <v>1.2</v>
      </c>
    </row>
    <row r="6" spans="1:61" x14ac:dyDescent="0.25">
      <c r="A6" s="44" t="s">
        <v>345</v>
      </c>
      <c r="B6" s="45">
        <v>1</v>
      </c>
      <c r="C6" s="44" t="s">
        <v>49</v>
      </c>
      <c r="D6" t="s">
        <v>52</v>
      </c>
      <c r="E6" s="6"/>
      <c r="F6" s="7"/>
      <c r="G6" s="8">
        <v>1</v>
      </c>
      <c r="H6" s="9"/>
      <c r="J6" s="10"/>
      <c r="K6" s="11"/>
      <c r="L6" s="12"/>
      <c r="M6" s="13"/>
      <c r="O6" s="6"/>
      <c r="P6" s="7"/>
      <c r="Q6" s="8"/>
      <c r="R6" s="9"/>
      <c r="T6" s="10"/>
      <c r="U6" s="11"/>
      <c r="V6" s="12"/>
      <c r="W6" s="13">
        <v>2</v>
      </c>
      <c r="Y6" s="6"/>
      <c r="Z6" s="7"/>
      <c r="AA6" s="8"/>
      <c r="AB6" s="9"/>
      <c r="AD6" s="10"/>
      <c r="AE6" s="11"/>
      <c r="AF6" s="12"/>
      <c r="AG6" s="13"/>
      <c r="AI6" s="6"/>
      <c r="AJ6" s="7"/>
      <c r="AK6" s="8"/>
      <c r="AL6" s="9"/>
      <c r="AN6" s="10"/>
      <c r="AO6" s="11"/>
      <c r="AP6" s="12"/>
      <c r="AQ6" s="13"/>
      <c r="AS6" s="6"/>
      <c r="AT6" s="7"/>
      <c r="AU6" s="8"/>
      <c r="AV6" s="9"/>
      <c r="AX6" s="10"/>
      <c r="AY6" s="11"/>
      <c r="AZ6" s="12"/>
      <c r="BA6" s="13"/>
      <c r="BC6" s="6"/>
      <c r="BD6" s="7"/>
      <c r="BE6" s="8"/>
      <c r="BF6" s="9"/>
      <c r="BG6" s="4"/>
      <c r="BH6" s="46">
        <f>SUM(E6:BF6)</f>
        <v>3</v>
      </c>
      <c r="BI6" s="47">
        <f>(SUM(E6:BG6)*$D$2)</f>
        <v>0.89999999999999991</v>
      </c>
    </row>
    <row r="7" spans="1:61" x14ac:dyDescent="0.25">
      <c r="A7" s="44" t="s">
        <v>354</v>
      </c>
      <c r="B7" s="45">
        <v>1</v>
      </c>
      <c r="C7" s="44" t="s">
        <v>49</v>
      </c>
      <c r="D7" t="s">
        <v>62</v>
      </c>
      <c r="E7" s="6"/>
      <c r="F7" s="7"/>
      <c r="G7" s="8"/>
      <c r="H7" s="9"/>
      <c r="J7" s="10"/>
      <c r="K7" s="11"/>
      <c r="L7" s="12"/>
      <c r="M7" s="13"/>
      <c r="O7" s="6"/>
      <c r="P7" s="7"/>
      <c r="Q7" s="8"/>
      <c r="R7" s="9">
        <v>1</v>
      </c>
      <c r="T7" s="10"/>
      <c r="U7" s="11"/>
      <c r="V7" s="12"/>
      <c r="W7" s="13"/>
      <c r="Y7" s="6"/>
      <c r="Z7" s="7"/>
      <c r="AA7" s="8"/>
      <c r="AB7" s="9"/>
      <c r="AD7" s="10"/>
      <c r="AE7" s="11"/>
      <c r="AF7" s="12"/>
      <c r="AG7" s="13"/>
      <c r="AI7" s="6"/>
      <c r="AJ7" s="7"/>
      <c r="AK7" s="8"/>
      <c r="AL7" s="9"/>
      <c r="AN7" s="10"/>
      <c r="AO7" s="11"/>
      <c r="AP7" s="12"/>
      <c r="AQ7" s="13"/>
      <c r="AS7" s="6"/>
      <c r="AT7" s="7"/>
      <c r="AU7" s="8"/>
      <c r="AV7" s="9"/>
      <c r="AX7" s="10"/>
      <c r="AY7" s="11"/>
      <c r="AZ7" s="12"/>
      <c r="BA7" s="13"/>
      <c r="BC7" s="6"/>
      <c r="BD7" s="7"/>
      <c r="BE7" s="8"/>
      <c r="BF7" s="9"/>
      <c r="BG7" s="4"/>
      <c r="BH7" s="46">
        <f t="shared" ref="BH7:BH9" si="0">SUM(E7:BF7)</f>
        <v>1</v>
      </c>
      <c r="BI7" s="47">
        <f t="shared" ref="BI7:BI9" si="1">(SUM(E7:BG7)*$D$2)</f>
        <v>0.3</v>
      </c>
    </row>
    <row r="8" spans="1:61" x14ac:dyDescent="0.25">
      <c r="A8" s="44" t="s">
        <v>356</v>
      </c>
      <c r="B8" s="45">
        <v>1</v>
      </c>
      <c r="C8" s="44" t="s">
        <v>49</v>
      </c>
      <c r="D8" t="s">
        <v>62</v>
      </c>
      <c r="E8" s="6"/>
      <c r="F8" s="7"/>
      <c r="G8" s="8"/>
      <c r="H8" s="9"/>
      <c r="J8" s="10"/>
      <c r="K8" s="11"/>
      <c r="L8" s="12"/>
      <c r="M8" s="13"/>
      <c r="O8" s="6"/>
      <c r="P8" s="7"/>
      <c r="Q8" s="8"/>
      <c r="R8" s="9"/>
      <c r="T8" s="10"/>
      <c r="U8" s="11"/>
      <c r="V8" s="12"/>
      <c r="W8" s="13"/>
      <c r="Y8" s="6"/>
      <c r="Z8" s="7"/>
      <c r="AA8" s="8"/>
      <c r="AB8" s="9"/>
      <c r="AD8" s="10"/>
      <c r="AE8" s="11"/>
      <c r="AF8" s="12"/>
      <c r="AG8" s="13">
        <v>2</v>
      </c>
      <c r="AI8" s="6"/>
      <c r="AJ8" s="7"/>
      <c r="AK8" s="8"/>
      <c r="AL8" s="9"/>
      <c r="AN8" s="10"/>
      <c r="AO8" s="11"/>
      <c r="AP8" s="12"/>
      <c r="AQ8" s="13"/>
      <c r="AS8" s="6"/>
      <c r="AT8" s="7"/>
      <c r="AU8" s="8"/>
      <c r="AV8" s="9"/>
      <c r="AX8" s="10"/>
      <c r="AY8" s="11"/>
      <c r="AZ8" s="12"/>
      <c r="BA8" s="13"/>
      <c r="BC8" s="6"/>
      <c r="BD8" s="7"/>
      <c r="BE8" s="8"/>
      <c r="BF8" s="9"/>
      <c r="BG8" s="4"/>
      <c r="BH8" s="46">
        <f t="shared" si="0"/>
        <v>2</v>
      </c>
      <c r="BI8" s="47">
        <f t="shared" si="1"/>
        <v>0.6</v>
      </c>
    </row>
    <row r="9" spans="1:61" x14ac:dyDescent="0.25">
      <c r="A9" s="44" t="s">
        <v>344</v>
      </c>
      <c r="B9" s="45">
        <v>1</v>
      </c>
      <c r="C9" s="44" t="s">
        <v>49</v>
      </c>
      <c r="D9" t="s">
        <v>62</v>
      </c>
      <c r="E9" s="6"/>
      <c r="F9" s="7"/>
      <c r="G9" s="8">
        <v>1</v>
      </c>
      <c r="H9" s="9">
        <v>2</v>
      </c>
      <c r="J9" s="10"/>
      <c r="K9" s="11"/>
      <c r="L9" s="12"/>
      <c r="M9" s="13"/>
      <c r="O9" s="6">
        <v>3</v>
      </c>
      <c r="P9" s="7"/>
      <c r="Q9" s="8">
        <v>3</v>
      </c>
      <c r="R9" s="9">
        <v>4</v>
      </c>
      <c r="T9" s="10"/>
      <c r="U9" s="11">
        <v>2</v>
      </c>
      <c r="V9" s="12"/>
      <c r="W9" s="13">
        <v>5</v>
      </c>
      <c r="Y9" s="6">
        <v>4</v>
      </c>
      <c r="Z9" s="7">
        <v>3</v>
      </c>
      <c r="AA9" s="8">
        <v>3</v>
      </c>
      <c r="AB9" s="9"/>
      <c r="AD9" s="10">
        <v>3</v>
      </c>
      <c r="AE9" s="11"/>
      <c r="AF9" s="12">
        <v>2</v>
      </c>
      <c r="AG9" s="13">
        <v>2</v>
      </c>
      <c r="AI9" s="6"/>
      <c r="AJ9" s="7">
        <v>2</v>
      </c>
      <c r="AK9" s="8"/>
      <c r="AL9" s="9"/>
      <c r="AN9" s="10"/>
      <c r="AO9" s="11"/>
      <c r="AP9" s="12"/>
      <c r="AQ9" s="13"/>
      <c r="AS9" s="6"/>
      <c r="AT9" s="7"/>
      <c r="AU9" s="8"/>
      <c r="AV9" s="9"/>
      <c r="AX9" s="10"/>
      <c r="AY9" s="11"/>
      <c r="AZ9" s="12"/>
      <c r="BA9" s="13"/>
      <c r="BC9" s="6"/>
      <c r="BD9" s="7"/>
      <c r="BE9" s="8"/>
      <c r="BF9" s="9"/>
      <c r="BG9" s="4"/>
      <c r="BH9" s="46">
        <f t="shared" si="0"/>
        <v>39</v>
      </c>
      <c r="BI9" s="47">
        <f t="shared" si="1"/>
        <v>11.7</v>
      </c>
    </row>
    <row r="10" spans="1:61" x14ac:dyDescent="0.25">
      <c r="A10" s="44" t="s">
        <v>229</v>
      </c>
      <c r="B10" s="44">
        <v>2</v>
      </c>
      <c r="C10" s="44" t="s">
        <v>49</v>
      </c>
      <c r="D10" t="s">
        <v>52</v>
      </c>
      <c r="E10" s="6"/>
      <c r="F10" s="7"/>
      <c r="G10" s="8"/>
      <c r="H10" s="9"/>
      <c r="J10" s="10"/>
      <c r="K10" s="11"/>
      <c r="L10" s="12"/>
      <c r="M10" s="13"/>
      <c r="O10" s="6"/>
      <c r="P10" s="7"/>
      <c r="Q10" s="8"/>
      <c r="R10" s="9">
        <v>1</v>
      </c>
      <c r="T10" s="10"/>
      <c r="U10" s="11"/>
      <c r="V10" s="12"/>
      <c r="W10" s="13">
        <v>3</v>
      </c>
      <c r="Y10" s="6"/>
      <c r="Z10" s="7"/>
      <c r="AA10" s="8"/>
      <c r="AB10" s="9">
        <v>3</v>
      </c>
      <c r="AD10" s="10"/>
      <c r="AE10" s="11"/>
      <c r="AF10" s="12"/>
      <c r="AG10" s="13">
        <v>2</v>
      </c>
      <c r="AI10" s="6"/>
      <c r="AJ10" s="7"/>
      <c r="AK10" s="8"/>
      <c r="AL10" s="9"/>
      <c r="AN10" s="10"/>
      <c r="AO10" s="11"/>
      <c r="AP10" s="12"/>
      <c r="AQ10" s="13"/>
      <c r="AS10" s="6"/>
      <c r="AT10" s="7"/>
      <c r="AU10" s="8"/>
      <c r="AV10" s="9"/>
      <c r="AX10" s="10"/>
      <c r="AY10" s="11"/>
      <c r="AZ10" s="12"/>
      <c r="BA10" s="13"/>
      <c r="BC10" s="6"/>
      <c r="BD10" s="7"/>
      <c r="BE10" s="8"/>
      <c r="BF10" s="9"/>
      <c r="BG10" s="4"/>
      <c r="BH10" s="46">
        <f t="shared" ref="BH10:BH87" si="2">SUM(E10:BF10)</f>
        <v>9</v>
      </c>
      <c r="BI10" s="47">
        <f t="shared" ref="BI10:BI87" si="3">(SUM(E10:BG10)*$D$2)</f>
        <v>2.6999999999999997</v>
      </c>
    </row>
    <row r="11" spans="1:61" x14ac:dyDescent="0.25">
      <c r="A11" s="44" t="s">
        <v>230</v>
      </c>
      <c r="B11" s="45">
        <v>2</v>
      </c>
      <c r="C11" s="44" t="s">
        <v>49</v>
      </c>
      <c r="D11" t="s">
        <v>52</v>
      </c>
      <c r="E11" s="6"/>
      <c r="F11" s="7"/>
      <c r="G11" s="8"/>
      <c r="H11" s="9"/>
      <c r="J11" s="10"/>
      <c r="K11" s="11"/>
      <c r="L11" s="12"/>
      <c r="M11" s="13"/>
      <c r="O11" s="6"/>
      <c r="P11" s="7"/>
      <c r="Q11" s="8"/>
      <c r="R11" s="9"/>
      <c r="T11" s="10"/>
      <c r="U11" s="11"/>
      <c r="V11" s="12"/>
      <c r="W11" s="13"/>
      <c r="Y11" s="6"/>
      <c r="Z11" s="7"/>
      <c r="AA11" s="8"/>
      <c r="AB11" s="9"/>
      <c r="AD11" s="10"/>
      <c r="AE11" s="11"/>
      <c r="AF11" s="12"/>
      <c r="AG11" s="13"/>
      <c r="AI11" s="6"/>
      <c r="AJ11" s="7"/>
      <c r="AK11" s="8"/>
      <c r="AL11" s="9"/>
      <c r="AN11" s="10"/>
      <c r="AO11" s="11"/>
      <c r="AP11" s="12"/>
      <c r="AQ11" s="13"/>
      <c r="AS11" s="6"/>
      <c r="AT11" s="7"/>
      <c r="AU11" s="8"/>
      <c r="AV11" s="9"/>
      <c r="AX11" s="10"/>
      <c r="AY11" s="11"/>
      <c r="AZ11" s="12"/>
      <c r="BA11" s="13"/>
      <c r="BC11" s="6"/>
      <c r="BD11" s="7"/>
      <c r="BE11" s="8"/>
      <c r="BF11" s="9"/>
      <c r="BG11" s="4"/>
      <c r="BH11" s="46">
        <f t="shared" si="2"/>
        <v>0</v>
      </c>
      <c r="BI11" s="47">
        <f t="shared" si="3"/>
        <v>0</v>
      </c>
    </row>
    <row r="12" spans="1:61" x14ac:dyDescent="0.25">
      <c r="A12" s="44" t="s">
        <v>231</v>
      </c>
      <c r="B12" s="45">
        <v>2</v>
      </c>
      <c r="C12" s="44" t="s">
        <v>49</v>
      </c>
      <c r="D12" t="s">
        <v>52</v>
      </c>
      <c r="E12" s="6"/>
      <c r="F12" s="7"/>
      <c r="G12" s="8"/>
      <c r="H12" s="9"/>
      <c r="J12" s="10"/>
      <c r="K12" s="11"/>
      <c r="L12" s="12"/>
      <c r="M12" s="13"/>
      <c r="O12" s="6"/>
      <c r="P12" s="7">
        <v>5</v>
      </c>
      <c r="Q12" s="8">
        <v>4</v>
      </c>
      <c r="R12" s="9">
        <v>8</v>
      </c>
      <c r="T12" s="10"/>
      <c r="U12" s="11"/>
      <c r="V12" s="12"/>
      <c r="W12" s="13"/>
      <c r="Y12" s="6"/>
      <c r="Z12" s="7"/>
      <c r="AA12" s="8"/>
      <c r="AB12" s="9"/>
      <c r="AD12" s="10"/>
      <c r="AE12" s="11"/>
      <c r="AF12" s="12"/>
      <c r="AG12" s="13"/>
      <c r="AI12" s="6"/>
      <c r="AJ12" s="7"/>
      <c r="AK12" s="8"/>
      <c r="AL12" s="9"/>
      <c r="AN12" s="10"/>
      <c r="AO12" s="11"/>
      <c r="AP12" s="12"/>
      <c r="AQ12" s="13"/>
      <c r="AS12" s="6"/>
      <c r="AT12" s="7"/>
      <c r="AU12" s="8"/>
      <c r="AV12" s="9"/>
      <c r="AX12" s="10"/>
      <c r="AY12" s="11"/>
      <c r="AZ12" s="12"/>
      <c r="BA12" s="13"/>
      <c r="BC12" s="6"/>
      <c r="BD12" s="7"/>
      <c r="BE12" s="8"/>
      <c r="BF12" s="9"/>
      <c r="BG12" s="4"/>
      <c r="BH12" s="46">
        <f t="shared" si="2"/>
        <v>17</v>
      </c>
      <c r="BI12" s="47">
        <f t="shared" si="3"/>
        <v>5.0999999999999996</v>
      </c>
    </row>
    <row r="13" spans="1:61" x14ac:dyDescent="0.25">
      <c r="A13" s="44" t="s">
        <v>247</v>
      </c>
      <c r="B13" s="45">
        <v>2</v>
      </c>
      <c r="C13" s="44" t="s">
        <v>49</v>
      </c>
      <c r="D13" t="s">
        <v>52</v>
      </c>
      <c r="E13" s="6"/>
      <c r="F13" s="7"/>
      <c r="G13" s="8"/>
      <c r="H13" s="9"/>
      <c r="J13" s="10"/>
      <c r="K13" s="11"/>
      <c r="L13" s="12"/>
      <c r="M13" s="13"/>
      <c r="O13" s="6"/>
      <c r="P13" s="7"/>
      <c r="Q13" s="8"/>
      <c r="R13" s="9"/>
      <c r="T13" s="10"/>
      <c r="U13" s="11"/>
      <c r="V13" s="12"/>
      <c r="W13" s="13"/>
      <c r="Y13" s="6"/>
      <c r="Z13" s="7"/>
      <c r="AA13" s="8"/>
      <c r="AB13" s="9"/>
      <c r="AD13" s="10"/>
      <c r="AE13" s="11"/>
      <c r="AF13" s="12"/>
      <c r="AG13" s="13"/>
      <c r="AI13" s="6"/>
      <c r="AJ13" s="7"/>
      <c r="AK13" s="8"/>
      <c r="AL13" s="9"/>
      <c r="AN13" s="10"/>
      <c r="AO13" s="11"/>
      <c r="AP13" s="12"/>
      <c r="AQ13" s="13"/>
      <c r="AS13" s="6"/>
      <c r="AT13" s="7"/>
      <c r="AU13" s="8"/>
      <c r="AV13" s="9"/>
      <c r="AX13" s="10"/>
      <c r="AY13" s="11"/>
      <c r="AZ13" s="12"/>
      <c r="BA13" s="13"/>
      <c r="BC13" s="6"/>
      <c r="BD13" s="7"/>
      <c r="BE13" s="8"/>
      <c r="BF13" s="9"/>
      <c r="BG13" s="4"/>
      <c r="BH13" s="46">
        <f t="shared" si="2"/>
        <v>0</v>
      </c>
      <c r="BI13" s="47">
        <f t="shared" si="3"/>
        <v>0</v>
      </c>
    </row>
    <row r="14" spans="1:61" x14ac:dyDescent="0.25">
      <c r="A14" s="44" t="s">
        <v>248</v>
      </c>
      <c r="B14" s="45">
        <v>2</v>
      </c>
      <c r="C14" s="44" t="s">
        <v>49</v>
      </c>
      <c r="D14" t="s">
        <v>52</v>
      </c>
      <c r="E14" s="6"/>
      <c r="F14" s="7"/>
      <c r="G14" s="8"/>
      <c r="H14" s="9"/>
      <c r="J14" s="10"/>
      <c r="K14" s="11"/>
      <c r="L14" s="12"/>
      <c r="M14" s="13"/>
      <c r="O14" s="6"/>
      <c r="P14" s="7"/>
      <c r="Q14" s="8"/>
      <c r="R14" s="9"/>
      <c r="T14" s="10"/>
      <c r="U14" s="11"/>
      <c r="V14" s="12"/>
      <c r="W14" s="13"/>
      <c r="Y14" s="6"/>
      <c r="Z14" s="7"/>
      <c r="AA14" s="8"/>
      <c r="AB14" s="9"/>
      <c r="AD14" s="10"/>
      <c r="AE14" s="11"/>
      <c r="AF14" s="12"/>
      <c r="AG14" s="13"/>
      <c r="AI14" s="6"/>
      <c r="AJ14" s="7"/>
      <c r="AK14" s="8"/>
      <c r="AL14" s="9"/>
      <c r="AN14" s="10"/>
      <c r="AO14" s="11"/>
      <c r="AP14" s="12"/>
      <c r="AQ14" s="13"/>
      <c r="AS14" s="6"/>
      <c r="AT14" s="7"/>
      <c r="AU14" s="8"/>
      <c r="AV14" s="9"/>
      <c r="AX14" s="10"/>
      <c r="AY14" s="11"/>
      <c r="AZ14" s="12"/>
      <c r="BA14" s="13"/>
      <c r="BC14" s="6"/>
      <c r="BD14" s="7"/>
      <c r="BE14" s="8"/>
      <c r="BF14" s="9"/>
      <c r="BG14" s="4"/>
      <c r="BH14" s="46">
        <f t="shared" si="2"/>
        <v>0</v>
      </c>
      <c r="BI14" s="47">
        <f t="shared" si="3"/>
        <v>0</v>
      </c>
    </row>
    <row r="15" spans="1:61" x14ac:dyDescent="0.25">
      <c r="A15" s="44" t="s">
        <v>249</v>
      </c>
      <c r="B15" s="45">
        <v>2</v>
      </c>
      <c r="C15" s="44" t="s">
        <v>49</v>
      </c>
      <c r="D15" t="s">
        <v>52</v>
      </c>
      <c r="E15" s="6"/>
      <c r="F15" s="7"/>
      <c r="G15" s="8"/>
      <c r="H15" s="9"/>
      <c r="J15" s="10"/>
      <c r="K15" s="11"/>
      <c r="L15" s="12"/>
      <c r="M15" s="13"/>
      <c r="O15" s="6"/>
      <c r="P15" s="7"/>
      <c r="Q15" s="8"/>
      <c r="R15" s="9"/>
      <c r="T15" s="10"/>
      <c r="U15" s="11"/>
      <c r="V15" s="12"/>
      <c r="W15" s="13"/>
      <c r="Y15" s="6"/>
      <c r="Z15" s="7"/>
      <c r="AA15" s="8"/>
      <c r="AB15" s="9"/>
      <c r="AD15" s="10"/>
      <c r="AE15" s="11"/>
      <c r="AF15" s="12"/>
      <c r="AG15" s="13"/>
      <c r="AI15" s="6"/>
      <c r="AJ15" s="7"/>
      <c r="AK15" s="8"/>
      <c r="AL15" s="9"/>
      <c r="AN15" s="10"/>
      <c r="AO15" s="11"/>
      <c r="AP15" s="12"/>
      <c r="AQ15" s="13"/>
      <c r="AS15" s="6"/>
      <c r="AT15" s="7"/>
      <c r="AU15" s="8"/>
      <c r="AV15" s="9"/>
      <c r="AX15" s="10"/>
      <c r="AY15" s="11"/>
      <c r="AZ15" s="12"/>
      <c r="BA15" s="13"/>
      <c r="BC15" s="6"/>
      <c r="BD15" s="7"/>
      <c r="BE15" s="8"/>
      <c r="BF15" s="9"/>
      <c r="BG15" s="4"/>
      <c r="BH15" s="46">
        <f t="shared" si="2"/>
        <v>0</v>
      </c>
      <c r="BI15" s="47">
        <f t="shared" si="3"/>
        <v>0</v>
      </c>
    </row>
    <row r="16" spans="1:61" x14ac:dyDescent="0.25">
      <c r="A16" s="44" t="s">
        <v>250</v>
      </c>
      <c r="B16" s="45">
        <v>10</v>
      </c>
      <c r="C16" s="44" t="s">
        <v>49</v>
      </c>
      <c r="D16" t="s">
        <v>59</v>
      </c>
      <c r="E16" s="6"/>
      <c r="F16" s="7"/>
      <c r="G16" s="8"/>
      <c r="H16" s="9"/>
      <c r="J16" s="10"/>
      <c r="K16" s="11"/>
      <c r="L16" s="12"/>
      <c r="M16" s="13"/>
      <c r="O16" s="6"/>
      <c r="P16" s="7"/>
      <c r="Q16" s="8"/>
      <c r="R16" s="9">
        <v>4</v>
      </c>
      <c r="T16" s="10"/>
      <c r="U16" s="11"/>
      <c r="V16" s="12"/>
      <c r="W16" s="13"/>
      <c r="Y16" s="6"/>
      <c r="Z16" s="7"/>
      <c r="AA16" s="8"/>
      <c r="AB16" s="9"/>
      <c r="AD16" s="10">
        <v>6</v>
      </c>
      <c r="AE16" s="11"/>
      <c r="AF16" s="12"/>
      <c r="AG16" s="13"/>
      <c r="AI16" s="6"/>
      <c r="AJ16" s="7"/>
      <c r="AK16" s="8"/>
      <c r="AL16" s="9"/>
      <c r="AN16" s="10"/>
      <c r="AO16" s="11"/>
      <c r="AP16" s="12"/>
      <c r="AQ16" s="13"/>
      <c r="AS16" s="6"/>
      <c r="AT16" s="7"/>
      <c r="AU16" s="8"/>
      <c r="AV16" s="9"/>
      <c r="AX16" s="10"/>
      <c r="AY16" s="11"/>
      <c r="AZ16" s="12"/>
      <c r="BA16" s="13"/>
      <c r="BC16" s="6"/>
      <c r="BD16" s="7"/>
      <c r="BE16" s="8"/>
      <c r="BF16" s="9"/>
      <c r="BG16" s="4"/>
      <c r="BH16" s="46">
        <f t="shared" si="2"/>
        <v>10</v>
      </c>
      <c r="BI16" s="47">
        <f t="shared" si="3"/>
        <v>3</v>
      </c>
    </row>
    <row r="17" spans="1:61" x14ac:dyDescent="0.25">
      <c r="A17" s="44" t="s">
        <v>357</v>
      </c>
      <c r="B17" s="45">
        <v>10</v>
      </c>
      <c r="C17" s="44" t="s">
        <v>49</v>
      </c>
      <c r="D17" t="s">
        <v>59</v>
      </c>
      <c r="E17" s="6"/>
      <c r="F17" s="7"/>
      <c r="G17" s="8"/>
      <c r="H17" s="9"/>
      <c r="J17" s="10"/>
      <c r="K17" s="11"/>
      <c r="L17" s="12"/>
      <c r="M17" s="13"/>
      <c r="O17" s="6"/>
      <c r="P17" s="7"/>
      <c r="Q17" s="8"/>
      <c r="R17" s="9"/>
      <c r="T17" s="10"/>
      <c r="U17" s="11"/>
      <c r="V17" s="12"/>
      <c r="W17" s="13"/>
      <c r="Y17" s="6"/>
      <c r="Z17" s="7"/>
      <c r="AA17" s="8"/>
      <c r="AB17" s="9"/>
      <c r="AD17" s="10"/>
      <c r="AE17" s="11"/>
      <c r="AF17" s="12"/>
      <c r="AG17" s="13"/>
      <c r="AI17" s="6"/>
      <c r="AJ17" s="7"/>
      <c r="AK17" s="8"/>
      <c r="AL17" s="9"/>
      <c r="AN17" s="10"/>
      <c r="AO17" s="11"/>
      <c r="AP17" s="12"/>
      <c r="AQ17" s="13"/>
      <c r="AS17" s="6"/>
      <c r="AT17" s="7"/>
      <c r="AU17" s="8"/>
      <c r="AV17" s="9"/>
      <c r="AX17" s="10"/>
      <c r="AY17" s="11"/>
      <c r="AZ17" s="12"/>
      <c r="BA17" s="13"/>
      <c r="BC17" s="6"/>
      <c r="BD17" s="7"/>
      <c r="BE17" s="8"/>
      <c r="BF17" s="9"/>
      <c r="BG17" s="4"/>
      <c r="BH17" s="46">
        <f t="shared" si="2"/>
        <v>0</v>
      </c>
      <c r="BI17" s="47">
        <f t="shared" si="3"/>
        <v>0</v>
      </c>
    </row>
    <row r="18" spans="1:61" x14ac:dyDescent="0.25">
      <c r="A18" s="44" t="s">
        <v>252</v>
      </c>
      <c r="B18" s="45">
        <v>10</v>
      </c>
      <c r="C18" s="44" t="s">
        <v>49</v>
      </c>
      <c r="D18" t="s">
        <v>59</v>
      </c>
      <c r="E18" s="6"/>
      <c r="F18" s="7"/>
      <c r="G18" s="8"/>
      <c r="H18" s="9"/>
      <c r="J18" s="10"/>
      <c r="K18" s="11"/>
      <c r="L18" s="12">
        <v>1</v>
      </c>
      <c r="M18" s="13"/>
      <c r="O18" s="6"/>
      <c r="P18" s="7"/>
      <c r="Q18" s="8"/>
      <c r="R18" s="9">
        <v>3</v>
      </c>
      <c r="T18" s="10"/>
      <c r="U18" s="11"/>
      <c r="V18" s="12"/>
      <c r="W18" s="13">
        <v>2</v>
      </c>
      <c r="Y18" s="6"/>
      <c r="Z18" s="7"/>
      <c r="AA18" s="8"/>
      <c r="AB18" s="9">
        <v>1</v>
      </c>
      <c r="AD18" s="10"/>
      <c r="AE18" s="11"/>
      <c r="AF18" s="12"/>
      <c r="AG18" s="13"/>
      <c r="AI18" s="6"/>
      <c r="AJ18" s="7"/>
      <c r="AK18" s="8"/>
      <c r="AL18" s="9"/>
      <c r="AN18" s="10"/>
      <c r="AO18" s="11"/>
      <c r="AP18" s="12"/>
      <c r="AQ18" s="13"/>
      <c r="AS18" s="6"/>
      <c r="AT18" s="7"/>
      <c r="AU18" s="8"/>
      <c r="AV18" s="9"/>
      <c r="AX18" s="10"/>
      <c r="AY18" s="11"/>
      <c r="AZ18" s="12"/>
      <c r="BA18" s="13"/>
      <c r="BC18" s="6"/>
      <c r="BD18" s="7"/>
      <c r="BE18" s="8"/>
      <c r="BF18" s="9"/>
      <c r="BG18" s="4"/>
      <c r="BH18" s="46">
        <f t="shared" si="2"/>
        <v>7</v>
      </c>
      <c r="BI18" s="47">
        <f t="shared" si="3"/>
        <v>2.1</v>
      </c>
    </row>
    <row r="19" spans="1:61" x14ac:dyDescent="0.25">
      <c r="A19" s="44" t="s">
        <v>253</v>
      </c>
      <c r="B19" s="45">
        <v>11</v>
      </c>
      <c r="C19" s="44" t="s">
        <v>49</v>
      </c>
      <c r="D19" t="s">
        <v>63</v>
      </c>
      <c r="E19" s="6"/>
      <c r="F19" s="7"/>
      <c r="G19" s="8"/>
      <c r="H19" s="9"/>
      <c r="J19" s="10"/>
      <c r="K19" s="11"/>
      <c r="L19" s="12"/>
      <c r="M19" s="13"/>
      <c r="O19" s="6"/>
      <c r="P19" s="7"/>
      <c r="Q19" s="8"/>
      <c r="R19" s="9"/>
      <c r="T19" s="10"/>
      <c r="U19" s="11"/>
      <c r="V19" s="12"/>
      <c r="W19" s="13"/>
      <c r="Y19" s="6"/>
      <c r="Z19" s="7"/>
      <c r="AA19" s="8"/>
      <c r="AB19" s="9"/>
      <c r="AD19" s="10"/>
      <c r="AE19" s="11"/>
      <c r="AF19" s="12"/>
      <c r="AG19" s="13"/>
      <c r="AI19" s="6"/>
      <c r="AJ19" s="7"/>
      <c r="AK19" s="8"/>
      <c r="AL19" s="9"/>
      <c r="AN19" s="10"/>
      <c r="AO19" s="11"/>
      <c r="AP19" s="12"/>
      <c r="AQ19" s="13"/>
      <c r="AS19" s="6"/>
      <c r="AT19" s="7"/>
      <c r="AU19" s="8"/>
      <c r="AV19" s="9"/>
      <c r="AX19" s="10"/>
      <c r="AY19" s="11"/>
      <c r="AZ19" s="12"/>
      <c r="BA19" s="13"/>
      <c r="BC19" s="6"/>
      <c r="BD19" s="7"/>
      <c r="BE19" s="8"/>
      <c r="BF19" s="9"/>
      <c r="BG19" s="4"/>
      <c r="BH19" s="46">
        <f t="shared" si="2"/>
        <v>0</v>
      </c>
      <c r="BI19" s="47">
        <f t="shared" si="3"/>
        <v>0</v>
      </c>
    </row>
    <row r="20" spans="1:61" x14ac:dyDescent="0.25">
      <c r="A20" s="44" t="s">
        <v>254</v>
      </c>
      <c r="B20" s="45">
        <v>11</v>
      </c>
      <c r="C20" s="44" t="s">
        <v>49</v>
      </c>
      <c r="D20" t="s">
        <v>63</v>
      </c>
      <c r="E20" s="6"/>
      <c r="F20" s="7"/>
      <c r="G20" s="8"/>
      <c r="H20" s="9"/>
      <c r="J20" s="10"/>
      <c r="K20" s="11"/>
      <c r="L20" s="12"/>
      <c r="M20" s="13"/>
      <c r="O20" s="6"/>
      <c r="P20" s="7"/>
      <c r="Q20" s="8"/>
      <c r="R20" s="9"/>
      <c r="T20" s="10"/>
      <c r="U20" s="11"/>
      <c r="V20" s="12"/>
      <c r="W20" s="13"/>
      <c r="Y20" s="6"/>
      <c r="Z20" s="7"/>
      <c r="AA20" s="8"/>
      <c r="AB20" s="9"/>
      <c r="AD20" s="10"/>
      <c r="AE20" s="11"/>
      <c r="AF20" s="12"/>
      <c r="AG20" s="13"/>
      <c r="AI20" s="6"/>
      <c r="AJ20" s="7"/>
      <c r="AK20" s="8"/>
      <c r="AL20" s="9"/>
      <c r="AN20" s="10"/>
      <c r="AO20" s="11"/>
      <c r="AP20" s="12"/>
      <c r="AQ20" s="13"/>
      <c r="AS20" s="6"/>
      <c r="AT20" s="7"/>
      <c r="AU20" s="8"/>
      <c r="AV20" s="9"/>
      <c r="AX20" s="10"/>
      <c r="AY20" s="11"/>
      <c r="AZ20" s="12"/>
      <c r="BA20" s="13"/>
      <c r="BC20" s="6"/>
      <c r="BD20" s="7"/>
      <c r="BE20" s="8"/>
      <c r="BF20" s="9"/>
      <c r="BG20" s="4"/>
      <c r="BH20" s="46">
        <f t="shared" si="2"/>
        <v>0</v>
      </c>
      <c r="BI20" s="47">
        <f t="shared" si="3"/>
        <v>0</v>
      </c>
    </row>
    <row r="21" spans="1:61" x14ac:dyDescent="0.25">
      <c r="A21" s="44" t="s">
        <v>255</v>
      </c>
      <c r="B21" s="45">
        <v>11</v>
      </c>
      <c r="C21" s="44" t="s">
        <v>49</v>
      </c>
      <c r="D21" t="s">
        <v>63</v>
      </c>
      <c r="E21" s="6"/>
      <c r="F21" s="7"/>
      <c r="G21" s="8"/>
      <c r="H21" s="9"/>
      <c r="J21" s="10"/>
      <c r="K21" s="11"/>
      <c r="L21" s="12"/>
      <c r="M21" s="13"/>
      <c r="O21" s="6"/>
      <c r="P21" s="7"/>
      <c r="Q21" s="8"/>
      <c r="R21" s="9"/>
      <c r="T21" s="10"/>
      <c r="U21" s="11"/>
      <c r="V21" s="12"/>
      <c r="W21" s="13"/>
      <c r="Y21" s="6"/>
      <c r="Z21" s="7"/>
      <c r="AA21" s="8"/>
      <c r="AB21" s="9"/>
      <c r="AD21" s="10"/>
      <c r="AE21" s="11"/>
      <c r="AF21" s="12"/>
      <c r="AG21" s="13"/>
      <c r="AI21" s="6"/>
      <c r="AJ21" s="7"/>
      <c r="AK21" s="8"/>
      <c r="AL21" s="9"/>
      <c r="AN21" s="10"/>
      <c r="AO21" s="11"/>
      <c r="AP21" s="12"/>
      <c r="AQ21" s="13"/>
      <c r="AS21" s="6"/>
      <c r="AT21" s="7"/>
      <c r="AU21" s="8"/>
      <c r="AV21" s="9"/>
      <c r="AX21" s="10"/>
      <c r="AY21" s="11"/>
      <c r="AZ21" s="12"/>
      <c r="BA21" s="13"/>
      <c r="BC21" s="6"/>
      <c r="BD21" s="7"/>
      <c r="BE21" s="8"/>
      <c r="BF21" s="9"/>
      <c r="BG21" s="4"/>
      <c r="BH21" s="46">
        <f t="shared" si="2"/>
        <v>0</v>
      </c>
      <c r="BI21" s="47">
        <f t="shared" si="3"/>
        <v>0</v>
      </c>
    </row>
    <row r="22" spans="1:61" x14ac:dyDescent="0.25">
      <c r="A22" s="44" t="s">
        <v>409</v>
      </c>
      <c r="B22" s="45">
        <v>12</v>
      </c>
      <c r="C22" s="44" t="s">
        <v>49</v>
      </c>
      <c r="D22" t="s">
        <v>60</v>
      </c>
      <c r="E22" s="6"/>
      <c r="F22" s="7"/>
      <c r="G22" s="8"/>
      <c r="H22" s="9"/>
      <c r="J22" s="10"/>
      <c r="K22" s="11"/>
      <c r="L22" s="12"/>
      <c r="M22" s="13"/>
      <c r="O22" s="6"/>
      <c r="P22" s="7"/>
      <c r="Q22" s="8"/>
      <c r="R22" s="9"/>
      <c r="T22" s="10"/>
      <c r="U22" s="11"/>
      <c r="V22" s="12"/>
      <c r="W22" s="13"/>
      <c r="Y22" s="6"/>
      <c r="Z22" s="7"/>
      <c r="AA22" s="8"/>
      <c r="AB22" s="9"/>
      <c r="AD22" s="10"/>
      <c r="AE22" s="11"/>
      <c r="AF22" s="12"/>
      <c r="AG22" s="13"/>
      <c r="AI22" s="6"/>
      <c r="AJ22" s="7"/>
      <c r="AK22" s="8"/>
      <c r="AL22" s="9"/>
      <c r="AN22" s="10"/>
      <c r="AO22" s="11"/>
      <c r="AP22" s="12"/>
      <c r="AQ22" s="13"/>
      <c r="AS22" s="6"/>
      <c r="AT22" s="7"/>
      <c r="AU22" s="8"/>
      <c r="AV22" s="9"/>
      <c r="AX22" s="10"/>
      <c r="AY22" s="11"/>
      <c r="AZ22" s="12"/>
      <c r="BA22" s="13"/>
      <c r="BC22" s="6"/>
      <c r="BD22" s="7"/>
      <c r="BE22" s="8"/>
      <c r="BF22" s="9"/>
      <c r="BG22" s="4"/>
      <c r="BH22" s="46">
        <f t="shared" si="2"/>
        <v>0</v>
      </c>
      <c r="BI22" s="47">
        <f t="shared" si="3"/>
        <v>0</v>
      </c>
    </row>
    <row r="23" spans="1:61" x14ac:dyDescent="0.25">
      <c r="A23" s="44" t="s">
        <v>257</v>
      </c>
      <c r="B23" s="45">
        <v>3</v>
      </c>
      <c r="C23" s="44" t="s">
        <v>49</v>
      </c>
      <c r="D23" t="s">
        <v>56</v>
      </c>
      <c r="E23" s="6"/>
      <c r="F23" s="7"/>
      <c r="G23" s="8"/>
      <c r="H23" s="9"/>
      <c r="J23" s="10"/>
      <c r="K23" s="11"/>
      <c r="L23" s="12"/>
      <c r="M23" s="13"/>
      <c r="O23" s="6"/>
      <c r="P23" s="7"/>
      <c r="Q23" s="8"/>
      <c r="R23" s="9">
        <v>8</v>
      </c>
      <c r="T23" s="10"/>
      <c r="U23" s="11"/>
      <c r="V23" s="12"/>
      <c r="W23" s="13">
        <v>5</v>
      </c>
      <c r="Y23" s="6">
        <v>4</v>
      </c>
      <c r="Z23" s="7"/>
      <c r="AA23" s="8"/>
      <c r="AB23" s="9">
        <v>6</v>
      </c>
      <c r="AD23" s="10">
        <v>4</v>
      </c>
      <c r="AE23" s="11"/>
      <c r="AF23" s="12"/>
      <c r="AG23" s="13">
        <v>3</v>
      </c>
      <c r="AI23" s="6"/>
      <c r="AJ23" s="7"/>
      <c r="AK23" s="8"/>
      <c r="AL23" s="9"/>
      <c r="AN23" s="10"/>
      <c r="AO23" s="11"/>
      <c r="AP23" s="12"/>
      <c r="AQ23" s="13"/>
      <c r="AS23" s="6"/>
      <c r="AT23" s="7"/>
      <c r="AU23" s="8"/>
      <c r="AV23" s="9"/>
      <c r="AX23" s="10"/>
      <c r="AY23" s="11"/>
      <c r="AZ23" s="12"/>
      <c r="BA23" s="13"/>
      <c r="BC23" s="6"/>
      <c r="BD23" s="7"/>
      <c r="BE23" s="8"/>
      <c r="BF23" s="9"/>
      <c r="BG23" s="4"/>
      <c r="BH23" s="46">
        <f t="shared" si="2"/>
        <v>30</v>
      </c>
      <c r="BI23" s="47">
        <f t="shared" si="3"/>
        <v>9</v>
      </c>
    </row>
    <row r="24" spans="1:61" x14ac:dyDescent="0.25">
      <c r="A24" s="44" t="s">
        <v>258</v>
      </c>
      <c r="B24" s="45">
        <v>3</v>
      </c>
      <c r="C24" s="44" t="s">
        <v>49</v>
      </c>
      <c r="D24" t="s">
        <v>56</v>
      </c>
      <c r="E24" s="6"/>
      <c r="F24" s="7"/>
      <c r="G24" s="8">
        <v>3</v>
      </c>
      <c r="H24" s="9"/>
      <c r="J24" s="10"/>
      <c r="K24" s="11"/>
      <c r="L24" s="12"/>
      <c r="M24" s="13"/>
      <c r="O24" s="6"/>
      <c r="P24" s="7"/>
      <c r="Q24" s="8"/>
      <c r="R24" s="9">
        <v>8</v>
      </c>
      <c r="T24" s="10"/>
      <c r="U24" s="11"/>
      <c r="V24" s="12"/>
      <c r="W24" s="13">
        <v>4</v>
      </c>
      <c r="Y24" s="6">
        <v>1</v>
      </c>
      <c r="Z24" s="7">
        <v>2</v>
      </c>
      <c r="AA24" s="8"/>
      <c r="AB24" s="9"/>
      <c r="AD24" s="10"/>
      <c r="AE24" s="11"/>
      <c r="AF24" s="12"/>
      <c r="AG24" s="13"/>
      <c r="AI24" s="6"/>
      <c r="AJ24" s="7">
        <v>3</v>
      </c>
      <c r="AK24" s="8"/>
      <c r="AL24" s="9"/>
      <c r="AN24" s="10"/>
      <c r="AO24" s="11"/>
      <c r="AP24" s="12"/>
      <c r="AQ24" s="13"/>
      <c r="AS24" s="6"/>
      <c r="AT24" s="7"/>
      <c r="AU24" s="8"/>
      <c r="AV24" s="9"/>
      <c r="AX24" s="10"/>
      <c r="AY24" s="11"/>
      <c r="AZ24" s="12"/>
      <c r="BA24" s="13"/>
      <c r="BC24" s="6"/>
      <c r="BD24" s="7"/>
      <c r="BE24" s="8"/>
      <c r="BF24" s="9"/>
      <c r="BG24" s="4"/>
      <c r="BH24" s="46">
        <f t="shared" si="2"/>
        <v>21</v>
      </c>
      <c r="BI24" s="47">
        <f t="shared" si="3"/>
        <v>6.3</v>
      </c>
    </row>
    <row r="25" spans="1:61" x14ac:dyDescent="0.25">
      <c r="A25" s="44" t="s">
        <v>259</v>
      </c>
      <c r="B25" s="45">
        <v>3</v>
      </c>
      <c r="C25" s="44" t="s">
        <v>49</v>
      </c>
      <c r="D25" t="s">
        <v>56</v>
      </c>
      <c r="E25" s="6"/>
      <c r="F25" s="7">
        <v>3</v>
      </c>
      <c r="G25" s="8">
        <v>3</v>
      </c>
      <c r="H25" s="9">
        <v>4</v>
      </c>
      <c r="J25" s="10"/>
      <c r="K25" s="11"/>
      <c r="L25" s="12">
        <v>3</v>
      </c>
      <c r="M25" s="13">
        <v>4</v>
      </c>
      <c r="O25" s="6">
        <v>2</v>
      </c>
      <c r="P25" s="7">
        <v>3</v>
      </c>
      <c r="Q25" s="8">
        <v>2</v>
      </c>
      <c r="R25" s="9">
        <v>7</v>
      </c>
      <c r="T25" s="10"/>
      <c r="U25" s="11">
        <v>4</v>
      </c>
      <c r="V25" s="12"/>
      <c r="W25" s="13">
        <v>7</v>
      </c>
      <c r="Y25" s="6">
        <v>4</v>
      </c>
      <c r="Z25" s="7">
        <v>4</v>
      </c>
      <c r="AA25" s="8"/>
      <c r="AB25" s="9">
        <v>6</v>
      </c>
      <c r="AD25" s="10">
        <v>4</v>
      </c>
      <c r="AE25" s="11"/>
      <c r="AF25" s="12">
        <v>3</v>
      </c>
      <c r="AG25" s="13">
        <v>5</v>
      </c>
      <c r="AI25" s="6"/>
      <c r="AJ25" s="7"/>
      <c r="AK25" s="8"/>
      <c r="AL25" s="9"/>
      <c r="AN25" s="10"/>
      <c r="AO25" s="11"/>
      <c r="AP25" s="12"/>
      <c r="AQ25" s="13"/>
      <c r="AS25" s="6"/>
      <c r="AT25" s="7"/>
      <c r="AU25" s="8"/>
      <c r="AV25" s="9"/>
      <c r="AX25" s="10"/>
      <c r="AY25" s="11"/>
      <c r="AZ25" s="12"/>
      <c r="BA25" s="13"/>
      <c r="BC25" s="6"/>
      <c r="BD25" s="7"/>
      <c r="BE25" s="8"/>
      <c r="BF25" s="9"/>
      <c r="BG25" s="4"/>
      <c r="BH25" s="46">
        <f t="shared" si="2"/>
        <v>68</v>
      </c>
      <c r="BI25" s="47">
        <f t="shared" si="3"/>
        <v>20.399999999999999</v>
      </c>
    </row>
    <row r="26" spans="1:61" x14ac:dyDescent="0.25">
      <c r="A26" s="44" t="s">
        <v>260</v>
      </c>
      <c r="B26" s="45">
        <v>3</v>
      </c>
      <c r="C26" s="44" t="s">
        <v>49</v>
      </c>
      <c r="D26" t="s">
        <v>56</v>
      </c>
      <c r="E26" s="6"/>
      <c r="F26" s="7">
        <v>2</v>
      </c>
      <c r="G26" s="8"/>
      <c r="H26" s="9"/>
      <c r="J26" s="10"/>
      <c r="K26" s="11"/>
      <c r="L26" s="12">
        <v>2</v>
      </c>
      <c r="M26" s="13"/>
      <c r="O26" s="6"/>
      <c r="P26" s="7">
        <v>2</v>
      </c>
      <c r="Q26" s="8"/>
      <c r="R26" s="9">
        <v>7</v>
      </c>
      <c r="T26" s="10"/>
      <c r="U26" s="11"/>
      <c r="V26" s="12"/>
      <c r="W26" s="13">
        <v>6</v>
      </c>
      <c r="Y26" s="6"/>
      <c r="Z26" s="7"/>
      <c r="AA26" s="8"/>
      <c r="AB26" s="9"/>
      <c r="AD26" s="10"/>
      <c r="AE26" s="11"/>
      <c r="AF26" s="12"/>
      <c r="AG26" s="13"/>
      <c r="AI26" s="6"/>
      <c r="AJ26" s="7"/>
      <c r="AK26" s="8"/>
      <c r="AL26" s="9"/>
      <c r="AN26" s="10"/>
      <c r="AO26" s="11"/>
      <c r="AP26" s="12"/>
      <c r="AQ26" s="13"/>
      <c r="AS26" s="6"/>
      <c r="AT26" s="7"/>
      <c r="AU26" s="8"/>
      <c r="AV26" s="9"/>
      <c r="AX26" s="10"/>
      <c r="AY26" s="11"/>
      <c r="AZ26" s="12"/>
      <c r="BA26" s="13"/>
      <c r="BC26" s="6"/>
      <c r="BD26" s="7"/>
      <c r="BE26" s="8"/>
      <c r="BF26" s="9"/>
      <c r="BG26" s="4"/>
      <c r="BH26" s="46">
        <f t="shared" si="2"/>
        <v>19</v>
      </c>
      <c r="BI26" s="47">
        <f t="shared" si="3"/>
        <v>5.7</v>
      </c>
    </row>
    <row r="27" spans="1:61" x14ac:dyDescent="0.25">
      <c r="A27" s="44" t="s">
        <v>261</v>
      </c>
      <c r="B27" s="45">
        <v>3</v>
      </c>
      <c r="C27" s="44" t="s">
        <v>49</v>
      </c>
      <c r="D27" t="s">
        <v>56</v>
      </c>
      <c r="E27" s="6">
        <v>3</v>
      </c>
      <c r="F27" s="7">
        <v>1</v>
      </c>
      <c r="G27" s="8">
        <v>3</v>
      </c>
      <c r="H27" s="9">
        <v>7</v>
      </c>
      <c r="J27" s="10"/>
      <c r="K27" s="11"/>
      <c r="L27" s="12">
        <v>6</v>
      </c>
      <c r="M27" s="13">
        <v>5</v>
      </c>
      <c r="O27" s="6">
        <v>4</v>
      </c>
      <c r="P27" s="7"/>
      <c r="Q27" s="8"/>
      <c r="R27" s="9"/>
      <c r="T27" s="10"/>
      <c r="U27" s="11">
        <v>2</v>
      </c>
      <c r="V27" s="12"/>
      <c r="W27" s="13">
        <v>6</v>
      </c>
      <c r="Y27" s="6">
        <v>5</v>
      </c>
      <c r="Z27" s="7">
        <v>8</v>
      </c>
      <c r="AA27" s="8"/>
      <c r="AB27" s="9"/>
      <c r="AD27" s="10">
        <v>5</v>
      </c>
      <c r="AE27" s="11"/>
      <c r="AF27" s="12">
        <v>6</v>
      </c>
      <c r="AG27" s="13">
        <v>5</v>
      </c>
      <c r="AI27" s="6">
        <v>6</v>
      </c>
      <c r="AJ27" s="7">
        <v>5</v>
      </c>
      <c r="AK27" s="8"/>
      <c r="AL27" s="9"/>
      <c r="AN27" s="10"/>
      <c r="AO27" s="11"/>
      <c r="AP27" s="12"/>
      <c r="AQ27" s="13"/>
      <c r="AS27" s="6"/>
      <c r="AT27" s="7"/>
      <c r="AU27" s="8"/>
      <c r="AV27" s="9"/>
      <c r="AX27" s="10"/>
      <c r="AY27" s="11"/>
      <c r="AZ27" s="12"/>
      <c r="BA27" s="13"/>
      <c r="BC27" s="6"/>
      <c r="BD27" s="7"/>
      <c r="BE27" s="8"/>
      <c r="BF27" s="9"/>
      <c r="BG27" s="4"/>
      <c r="BH27" s="46">
        <f t="shared" si="2"/>
        <v>77</v>
      </c>
      <c r="BI27" s="47">
        <f t="shared" si="3"/>
        <v>23.099999999999998</v>
      </c>
    </row>
    <row r="28" spans="1:61" x14ac:dyDescent="0.25">
      <c r="A28" s="44" t="s">
        <v>342</v>
      </c>
      <c r="B28" s="45">
        <v>3</v>
      </c>
      <c r="C28" s="44" t="s">
        <v>49</v>
      </c>
      <c r="D28" t="s">
        <v>56</v>
      </c>
      <c r="E28" s="6"/>
      <c r="F28" s="7">
        <v>4</v>
      </c>
      <c r="G28" s="8">
        <v>6</v>
      </c>
      <c r="H28" s="9">
        <v>5</v>
      </c>
      <c r="J28" s="10"/>
      <c r="K28" s="11"/>
      <c r="L28" s="12"/>
      <c r="M28" s="13"/>
      <c r="O28" s="6">
        <v>3</v>
      </c>
      <c r="P28" s="7">
        <v>6</v>
      </c>
      <c r="Q28" s="8">
        <v>3</v>
      </c>
      <c r="R28" s="9">
        <v>8</v>
      </c>
      <c r="T28" s="10"/>
      <c r="U28" s="11">
        <v>4</v>
      </c>
      <c r="V28" s="12"/>
      <c r="W28" s="13">
        <v>9</v>
      </c>
      <c r="Y28" s="6"/>
      <c r="Z28" s="7">
        <v>3</v>
      </c>
      <c r="AA28" s="8"/>
      <c r="AB28" s="9">
        <v>6</v>
      </c>
      <c r="AD28" s="10">
        <v>3</v>
      </c>
      <c r="AE28" s="11"/>
      <c r="AF28" s="12">
        <v>4</v>
      </c>
      <c r="AG28" s="13">
        <v>10</v>
      </c>
      <c r="AI28" s="6">
        <v>4</v>
      </c>
      <c r="AJ28" s="7">
        <v>3</v>
      </c>
      <c r="AK28" s="8"/>
      <c r="AL28" s="9"/>
      <c r="AN28" s="10"/>
      <c r="AO28" s="11"/>
      <c r="AP28" s="12"/>
      <c r="AQ28" s="13"/>
      <c r="AS28" s="6"/>
      <c r="AT28" s="7"/>
      <c r="AU28" s="8"/>
      <c r="AV28" s="9"/>
      <c r="AX28" s="10"/>
      <c r="AY28" s="11"/>
      <c r="AZ28" s="12"/>
      <c r="BA28" s="13"/>
      <c r="BC28" s="6"/>
      <c r="BD28" s="7"/>
      <c r="BE28" s="8"/>
      <c r="BF28" s="9"/>
      <c r="BG28" s="4"/>
      <c r="BH28" s="46">
        <f t="shared" si="2"/>
        <v>81</v>
      </c>
      <c r="BI28" s="47">
        <f t="shared" si="3"/>
        <v>24.3</v>
      </c>
    </row>
    <row r="29" spans="1:61" x14ac:dyDescent="0.25">
      <c r="A29" s="44" t="s">
        <v>262</v>
      </c>
      <c r="B29" s="45">
        <v>5</v>
      </c>
      <c r="C29" s="44" t="s">
        <v>49</v>
      </c>
      <c r="D29" t="s">
        <v>58</v>
      </c>
      <c r="E29" s="6"/>
      <c r="F29" s="7"/>
      <c r="G29" s="8"/>
      <c r="H29" s="9"/>
      <c r="J29" s="10"/>
      <c r="K29" s="11"/>
      <c r="L29" s="12"/>
      <c r="M29" s="13"/>
      <c r="O29" s="6"/>
      <c r="P29" s="7"/>
      <c r="Q29" s="8"/>
      <c r="R29" s="9">
        <v>3</v>
      </c>
      <c r="T29" s="10"/>
      <c r="U29" s="11"/>
      <c r="V29" s="12"/>
      <c r="W29" s="13"/>
      <c r="Y29" s="6"/>
      <c r="Z29" s="7"/>
      <c r="AA29" s="8"/>
      <c r="AB29" s="9"/>
      <c r="AD29" s="10"/>
      <c r="AE29" s="11"/>
      <c r="AF29" s="12"/>
      <c r="AG29" s="13"/>
      <c r="AI29" s="6"/>
      <c r="AJ29" s="7"/>
      <c r="AK29" s="8"/>
      <c r="AL29" s="9"/>
      <c r="AN29" s="10"/>
      <c r="AO29" s="11"/>
      <c r="AP29" s="12"/>
      <c r="AQ29" s="13"/>
      <c r="AS29" s="6"/>
      <c r="AT29" s="7"/>
      <c r="AU29" s="8"/>
      <c r="AV29" s="9"/>
      <c r="AX29" s="10"/>
      <c r="AY29" s="11"/>
      <c r="AZ29" s="12"/>
      <c r="BA29" s="13"/>
      <c r="BC29" s="6"/>
      <c r="BD29" s="7"/>
      <c r="BE29" s="8"/>
      <c r="BF29" s="9"/>
      <c r="BG29" s="4"/>
      <c r="BH29" s="46">
        <f t="shared" ref="BH29" si="4">SUM(E29:BF29)</f>
        <v>3</v>
      </c>
      <c r="BI29" s="47">
        <f t="shared" ref="BI29" si="5">(SUM(E29:BG29)*$D$2)</f>
        <v>0.89999999999999991</v>
      </c>
    </row>
    <row r="30" spans="1:61" x14ac:dyDescent="0.25">
      <c r="A30" s="44" t="s">
        <v>343</v>
      </c>
      <c r="B30" s="45">
        <v>5</v>
      </c>
      <c r="C30" s="44" t="s">
        <v>49</v>
      </c>
      <c r="D30" t="s">
        <v>58</v>
      </c>
      <c r="E30" s="6"/>
      <c r="F30" s="7"/>
      <c r="G30" s="8">
        <v>1</v>
      </c>
      <c r="H30" s="9"/>
      <c r="J30" s="10"/>
      <c r="K30" s="11"/>
      <c r="L30" s="12"/>
      <c r="M30" s="13">
        <v>3</v>
      </c>
      <c r="O30" s="6"/>
      <c r="P30" s="7">
        <v>1</v>
      </c>
      <c r="Q30" s="8"/>
      <c r="R30" s="9">
        <v>3</v>
      </c>
      <c r="T30" s="10"/>
      <c r="U30" s="11"/>
      <c r="V30" s="12"/>
      <c r="W30" s="13">
        <v>3</v>
      </c>
      <c r="Y30" s="6"/>
      <c r="Z30" s="7"/>
      <c r="AA30" s="8"/>
      <c r="AB30" s="9">
        <v>2</v>
      </c>
      <c r="AD30" s="10"/>
      <c r="AE30" s="11"/>
      <c r="AF30" s="12"/>
      <c r="AG30" s="13"/>
      <c r="AI30" s="6"/>
      <c r="AJ30" s="7"/>
      <c r="AK30" s="8"/>
      <c r="AL30" s="9"/>
      <c r="AN30" s="10"/>
      <c r="AO30" s="11"/>
      <c r="AP30" s="12"/>
      <c r="AQ30" s="13"/>
      <c r="AS30" s="6"/>
      <c r="AT30" s="7"/>
      <c r="AU30" s="8"/>
      <c r="AV30" s="9"/>
      <c r="AX30" s="10"/>
      <c r="AY30" s="11"/>
      <c r="AZ30" s="12"/>
      <c r="BA30" s="13"/>
      <c r="BC30" s="6"/>
      <c r="BD30" s="7"/>
      <c r="BE30" s="8"/>
      <c r="BF30" s="9"/>
      <c r="BG30" s="4"/>
      <c r="BH30" s="46">
        <f t="shared" si="2"/>
        <v>13</v>
      </c>
      <c r="BI30" s="47">
        <f t="shared" si="3"/>
        <v>3.9</v>
      </c>
    </row>
    <row r="31" spans="1:61" x14ac:dyDescent="0.25">
      <c r="A31" s="44" t="s">
        <v>263</v>
      </c>
      <c r="B31" s="45">
        <v>5</v>
      </c>
      <c r="C31" s="44" t="s">
        <v>49</v>
      </c>
      <c r="D31" t="s">
        <v>58</v>
      </c>
      <c r="E31" s="6"/>
      <c r="F31" s="7"/>
      <c r="G31" s="8"/>
      <c r="H31" s="9"/>
      <c r="J31" s="10"/>
      <c r="K31" s="11"/>
      <c r="L31" s="12">
        <v>6</v>
      </c>
      <c r="M31" s="13">
        <v>5</v>
      </c>
      <c r="O31" s="6"/>
      <c r="P31" s="7"/>
      <c r="Q31" s="8"/>
      <c r="R31" s="9">
        <v>6</v>
      </c>
      <c r="T31" s="10"/>
      <c r="U31" s="11"/>
      <c r="V31" s="12"/>
      <c r="W31" s="13">
        <v>7</v>
      </c>
      <c r="Y31" s="6"/>
      <c r="Z31" s="7"/>
      <c r="AA31" s="8"/>
      <c r="AB31" s="9">
        <v>7</v>
      </c>
      <c r="AD31" s="10"/>
      <c r="AE31" s="11"/>
      <c r="AF31" s="12"/>
      <c r="AG31" s="13">
        <v>7</v>
      </c>
      <c r="AI31" s="6"/>
      <c r="AJ31" s="7"/>
      <c r="AK31" s="8"/>
      <c r="AL31" s="9"/>
      <c r="AN31" s="10"/>
      <c r="AO31" s="11"/>
      <c r="AP31" s="12"/>
      <c r="AQ31" s="13"/>
      <c r="AS31" s="6"/>
      <c r="AT31" s="7"/>
      <c r="AU31" s="8"/>
      <c r="AV31" s="9"/>
      <c r="AX31" s="10"/>
      <c r="AY31" s="11"/>
      <c r="AZ31" s="12"/>
      <c r="BA31" s="13"/>
      <c r="BC31" s="6"/>
      <c r="BD31" s="7"/>
      <c r="BE31" s="8"/>
      <c r="BF31" s="9"/>
      <c r="BG31" s="4"/>
      <c r="BH31" s="46">
        <f t="shared" si="2"/>
        <v>38</v>
      </c>
      <c r="BI31" s="47">
        <f t="shared" si="3"/>
        <v>11.4</v>
      </c>
    </row>
    <row r="32" spans="1:61" x14ac:dyDescent="0.25">
      <c r="A32" s="44" t="s">
        <v>264</v>
      </c>
      <c r="B32" s="45">
        <v>5</v>
      </c>
      <c r="C32" s="44" t="s">
        <v>49</v>
      </c>
      <c r="D32" t="s">
        <v>58</v>
      </c>
      <c r="E32" s="6"/>
      <c r="F32" s="7"/>
      <c r="G32" s="8">
        <v>3</v>
      </c>
      <c r="H32" s="9"/>
      <c r="J32" s="10"/>
      <c r="K32" s="11"/>
      <c r="L32" s="12"/>
      <c r="M32" s="13"/>
      <c r="O32" s="6"/>
      <c r="P32" s="7"/>
      <c r="Q32" s="8"/>
      <c r="R32" s="9">
        <v>12</v>
      </c>
      <c r="T32" s="10"/>
      <c r="U32" s="11"/>
      <c r="V32" s="12"/>
      <c r="W32" s="13">
        <v>12</v>
      </c>
      <c r="Y32" s="6"/>
      <c r="Z32" s="7">
        <v>4</v>
      </c>
      <c r="AA32" s="8">
        <v>3</v>
      </c>
      <c r="AB32" s="9">
        <v>13</v>
      </c>
      <c r="AD32" s="10"/>
      <c r="AE32" s="11"/>
      <c r="AF32" s="12"/>
      <c r="AG32" s="13">
        <v>13</v>
      </c>
      <c r="AI32" s="6"/>
      <c r="AJ32" s="7"/>
      <c r="AK32" s="8"/>
      <c r="AL32" s="9"/>
      <c r="AN32" s="10"/>
      <c r="AO32" s="11"/>
      <c r="AP32" s="12"/>
      <c r="AQ32" s="13"/>
      <c r="AS32" s="6"/>
      <c r="AT32" s="7"/>
      <c r="AU32" s="8"/>
      <c r="AV32" s="9"/>
      <c r="AX32" s="10"/>
      <c r="AY32" s="11"/>
      <c r="AZ32" s="12"/>
      <c r="BA32" s="13"/>
      <c r="BC32" s="6"/>
      <c r="BD32" s="7"/>
      <c r="BE32" s="8"/>
      <c r="BF32" s="9"/>
      <c r="BG32" s="4"/>
      <c r="BH32" s="46">
        <f t="shared" si="2"/>
        <v>60</v>
      </c>
      <c r="BI32" s="47">
        <f t="shared" si="3"/>
        <v>18</v>
      </c>
    </row>
    <row r="33" spans="1:61" x14ac:dyDescent="0.25">
      <c r="A33" s="44" t="s">
        <v>265</v>
      </c>
      <c r="B33" s="45">
        <v>5</v>
      </c>
      <c r="C33" s="44" t="s">
        <v>49</v>
      </c>
      <c r="D33" t="s">
        <v>58</v>
      </c>
      <c r="E33" s="6"/>
      <c r="F33" s="7">
        <v>4</v>
      </c>
      <c r="G33" s="8">
        <v>3</v>
      </c>
      <c r="H33" s="9">
        <v>4</v>
      </c>
      <c r="J33" s="10"/>
      <c r="K33" s="11"/>
      <c r="L33" s="12">
        <v>3</v>
      </c>
      <c r="M33" s="13">
        <v>5</v>
      </c>
      <c r="O33" s="6">
        <v>2</v>
      </c>
      <c r="P33" s="7">
        <v>3</v>
      </c>
      <c r="Q33" s="8">
        <v>3</v>
      </c>
      <c r="R33" s="9">
        <v>10</v>
      </c>
      <c r="T33" s="10"/>
      <c r="U33" s="11"/>
      <c r="V33" s="12"/>
      <c r="W33" s="13">
        <v>9</v>
      </c>
      <c r="Y33" s="6"/>
      <c r="Z33" s="7"/>
      <c r="AA33" s="8"/>
      <c r="AB33" s="9">
        <v>8</v>
      </c>
      <c r="AD33" s="10"/>
      <c r="AE33" s="11"/>
      <c r="AF33" s="12"/>
      <c r="AG33" s="13">
        <v>7</v>
      </c>
      <c r="AI33" s="6"/>
      <c r="AJ33" s="7"/>
      <c r="AK33" s="8"/>
      <c r="AL33" s="9"/>
      <c r="AN33" s="10"/>
      <c r="AO33" s="11"/>
      <c r="AP33" s="12"/>
      <c r="AQ33" s="13"/>
      <c r="AS33" s="6"/>
      <c r="AT33" s="7"/>
      <c r="AU33" s="8"/>
      <c r="AV33" s="9"/>
      <c r="AX33" s="10"/>
      <c r="AY33" s="11"/>
      <c r="AZ33" s="12"/>
      <c r="BA33" s="13"/>
      <c r="BC33" s="6"/>
      <c r="BD33" s="7"/>
      <c r="BE33" s="8"/>
      <c r="BF33" s="9"/>
      <c r="BG33" s="4"/>
      <c r="BH33" s="46">
        <f t="shared" si="2"/>
        <v>61</v>
      </c>
      <c r="BI33" s="47">
        <f t="shared" si="3"/>
        <v>18.3</v>
      </c>
    </row>
    <row r="34" spans="1:61" x14ac:dyDescent="0.25">
      <c r="A34" s="44" t="s">
        <v>266</v>
      </c>
      <c r="B34" s="45">
        <v>5</v>
      </c>
      <c r="C34" s="44" t="s">
        <v>49</v>
      </c>
      <c r="D34" t="s">
        <v>58</v>
      </c>
      <c r="E34" s="6">
        <v>4</v>
      </c>
      <c r="F34" s="7">
        <v>4</v>
      </c>
      <c r="G34" s="8">
        <v>2</v>
      </c>
      <c r="H34" s="9">
        <v>2</v>
      </c>
      <c r="J34" s="10"/>
      <c r="K34" s="11"/>
      <c r="L34" s="12"/>
      <c r="M34" s="13"/>
      <c r="O34" s="6">
        <v>5</v>
      </c>
      <c r="P34" s="7"/>
      <c r="Q34" s="8">
        <v>4</v>
      </c>
      <c r="R34" s="9">
        <v>6</v>
      </c>
      <c r="T34" s="10"/>
      <c r="U34" s="11"/>
      <c r="V34" s="12"/>
      <c r="W34" s="13">
        <v>7</v>
      </c>
      <c r="Y34" s="6">
        <v>3</v>
      </c>
      <c r="Z34" s="7"/>
      <c r="AA34" s="8"/>
      <c r="AB34" s="9">
        <v>6</v>
      </c>
      <c r="AD34" s="10"/>
      <c r="AE34" s="11"/>
      <c r="AF34" s="12"/>
      <c r="AG34" s="13">
        <v>8</v>
      </c>
      <c r="AI34" s="6"/>
      <c r="AJ34" s="7"/>
      <c r="AK34" s="8"/>
      <c r="AL34" s="9"/>
      <c r="AN34" s="10"/>
      <c r="AO34" s="11"/>
      <c r="AP34" s="12"/>
      <c r="AQ34" s="13"/>
      <c r="AS34" s="6"/>
      <c r="AT34" s="7"/>
      <c r="AU34" s="8"/>
      <c r="AV34" s="9"/>
      <c r="AX34" s="10"/>
      <c r="AY34" s="11"/>
      <c r="AZ34" s="12"/>
      <c r="BA34" s="13"/>
      <c r="BC34" s="6"/>
      <c r="BD34" s="7"/>
      <c r="BE34" s="8"/>
      <c r="BF34" s="9"/>
      <c r="BG34" s="4"/>
      <c r="BH34" s="46">
        <f t="shared" si="2"/>
        <v>51</v>
      </c>
      <c r="BI34" s="47">
        <f t="shared" si="3"/>
        <v>15.299999999999999</v>
      </c>
    </row>
    <row r="35" spans="1:61" x14ac:dyDescent="0.25">
      <c r="A35" s="44" t="s">
        <v>267</v>
      </c>
      <c r="B35" s="45">
        <v>4</v>
      </c>
      <c r="C35" s="44" t="s">
        <v>49</v>
      </c>
      <c r="D35" t="s">
        <v>55</v>
      </c>
      <c r="E35" s="6"/>
      <c r="F35" s="7"/>
      <c r="G35" s="8"/>
      <c r="H35" s="9">
        <v>6</v>
      </c>
      <c r="J35" s="10"/>
      <c r="K35" s="11"/>
      <c r="L35" s="12"/>
      <c r="M35" s="13"/>
      <c r="O35" s="6"/>
      <c r="P35" s="7"/>
      <c r="Q35" s="8">
        <v>4</v>
      </c>
      <c r="R35" s="9">
        <v>3</v>
      </c>
      <c r="T35" s="10"/>
      <c r="U35" s="11"/>
      <c r="V35" s="12"/>
      <c r="W35" s="13">
        <v>4</v>
      </c>
      <c r="Y35" s="6">
        <v>4</v>
      </c>
      <c r="Z35" s="7"/>
      <c r="AA35" s="8"/>
      <c r="AB35" s="9">
        <v>5</v>
      </c>
      <c r="AD35" s="10"/>
      <c r="AE35" s="11"/>
      <c r="AF35" s="12"/>
      <c r="AG35" s="13">
        <v>7</v>
      </c>
      <c r="AI35" s="6"/>
      <c r="AJ35" s="7"/>
      <c r="AK35" s="8"/>
      <c r="AL35" s="9"/>
      <c r="AN35" s="10"/>
      <c r="AO35" s="11"/>
      <c r="AP35" s="12"/>
      <c r="AQ35" s="13"/>
      <c r="AS35" s="6"/>
      <c r="AT35" s="7"/>
      <c r="AU35" s="8"/>
      <c r="AV35" s="9"/>
      <c r="AX35" s="10"/>
      <c r="AY35" s="11"/>
      <c r="AZ35" s="12"/>
      <c r="BA35" s="13"/>
      <c r="BC35" s="6"/>
      <c r="BD35" s="7"/>
      <c r="BE35" s="8"/>
      <c r="BF35" s="9"/>
      <c r="BG35" s="4"/>
      <c r="BH35" s="46">
        <f t="shared" si="2"/>
        <v>33</v>
      </c>
      <c r="BI35" s="47">
        <f t="shared" si="3"/>
        <v>9.9</v>
      </c>
    </row>
    <row r="36" spans="1:61" x14ac:dyDescent="0.25">
      <c r="A36" s="44" t="s">
        <v>268</v>
      </c>
      <c r="B36" s="45">
        <v>4</v>
      </c>
      <c r="C36" s="44" t="s">
        <v>49</v>
      </c>
      <c r="D36" t="s">
        <v>55</v>
      </c>
      <c r="E36" s="6"/>
      <c r="F36" s="7"/>
      <c r="G36" s="8"/>
      <c r="H36" s="9">
        <v>5</v>
      </c>
      <c r="J36" s="10"/>
      <c r="K36" s="11"/>
      <c r="L36" s="12"/>
      <c r="M36" s="13"/>
      <c r="O36" s="6"/>
      <c r="P36" s="7"/>
      <c r="Q36" s="8"/>
      <c r="R36" s="9">
        <v>8</v>
      </c>
      <c r="T36" s="10"/>
      <c r="U36" s="11">
        <v>4</v>
      </c>
      <c r="V36" s="12"/>
      <c r="W36" s="13"/>
      <c r="Y36" s="6"/>
      <c r="Z36" s="7">
        <v>5</v>
      </c>
      <c r="AA36" s="8">
        <v>5</v>
      </c>
      <c r="AB36" s="9">
        <v>4</v>
      </c>
      <c r="AD36" s="10">
        <v>2</v>
      </c>
      <c r="AE36" s="11"/>
      <c r="AF36" s="12">
        <v>2</v>
      </c>
      <c r="AG36" s="13">
        <v>8</v>
      </c>
      <c r="AI36" s="6"/>
      <c r="AJ36" s="7"/>
      <c r="AK36" s="8"/>
      <c r="AL36" s="9"/>
      <c r="AN36" s="10"/>
      <c r="AO36" s="11"/>
      <c r="AP36" s="12"/>
      <c r="AQ36" s="13"/>
      <c r="AS36" s="6"/>
      <c r="AT36" s="7"/>
      <c r="AU36" s="8"/>
      <c r="AV36" s="9"/>
      <c r="AX36" s="10"/>
      <c r="AY36" s="11"/>
      <c r="AZ36" s="12"/>
      <c r="BA36" s="13"/>
      <c r="BC36" s="6"/>
      <c r="BD36" s="7"/>
      <c r="BE36" s="8"/>
      <c r="BF36" s="9"/>
      <c r="BG36" s="4"/>
      <c r="BH36" s="46">
        <f t="shared" si="2"/>
        <v>43</v>
      </c>
      <c r="BI36" s="47">
        <f t="shared" si="3"/>
        <v>12.9</v>
      </c>
    </row>
    <row r="37" spans="1:61" x14ac:dyDescent="0.25">
      <c r="A37" s="44" t="s">
        <v>269</v>
      </c>
      <c r="B37" s="45">
        <v>4</v>
      </c>
      <c r="C37" s="44" t="s">
        <v>49</v>
      </c>
      <c r="D37" t="s">
        <v>55</v>
      </c>
      <c r="E37" s="6"/>
      <c r="F37" s="7"/>
      <c r="G37" s="8"/>
      <c r="H37" s="9">
        <v>3</v>
      </c>
      <c r="J37" s="10"/>
      <c r="K37" s="11"/>
      <c r="L37" s="12"/>
      <c r="M37" s="13"/>
      <c r="O37" s="6"/>
      <c r="P37" s="7"/>
      <c r="Q37" s="8">
        <v>2</v>
      </c>
      <c r="R37" s="9"/>
      <c r="T37" s="10"/>
      <c r="U37" s="11"/>
      <c r="V37" s="12"/>
      <c r="W37" s="13">
        <v>8</v>
      </c>
      <c r="Y37" s="6"/>
      <c r="Z37" s="7"/>
      <c r="AA37" s="8"/>
      <c r="AB37" s="9"/>
      <c r="AD37" s="10">
        <v>2</v>
      </c>
      <c r="AE37" s="11"/>
      <c r="AF37" s="12"/>
      <c r="AG37" s="13">
        <v>9</v>
      </c>
      <c r="AI37" s="6">
        <v>3</v>
      </c>
      <c r="AJ37" s="7"/>
      <c r="AK37" s="8"/>
      <c r="AL37" s="9"/>
      <c r="AN37" s="10"/>
      <c r="AO37" s="11"/>
      <c r="AP37" s="12"/>
      <c r="AQ37" s="13"/>
      <c r="AS37" s="6"/>
      <c r="AT37" s="7"/>
      <c r="AU37" s="8"/>
      <c r="AV37" s="9"/>
      <c r="AX37" s="10"/>
      <c r="AY37" s="11"/>
      <c r="AZ37" s="12"/>
      <c r="BA37" s="13"/>
      <c r="BC37" s="6"/>
      <c r="BD37" s="7"/>
      <c r="BE37" s="8"/>
      <c r="BF37" s="9"/>
      <c r="BG37" s="4"/>
      <c r="BH37" s="46">
        <f t="shared" si="2"/>
        <v>27</v>
      </c>
      <c r="BI37" s="47">
        <f t="shared" si="3"/>
        <v>8.1</v>
      </c>
    </row>
    <row r="38" spans="1:61" x14ac:dyDescent="0.25">
      <c r="A38" s="44" t="s">
        <v>270</v>
      </c>
      <c r="B38" s="45">
        <v>4</v>
      </c>
      <c r="C38" s="44" t="s">
        <v>49</v>
      </c>
      <c r="D38" t="s">
        <v>55</v>
      </c>
      <c r="E38" s="6"/>
      <c r="F38" s="7"/>
      <c r="G38" s="8"/>
      <c r="H38" s="9">
        <v>3</v>
      </c>
      <c r="J38" s="10"/>
      <c r="K38" s="11"/>
      <c r="L38" s="12">
        <v>1</v>
      </c>
      <c r="M38" s="13"/>
      <c r="O38" s="6"/>
      <c r="P38" s="7"/>
      <c r="Q38" s="8"/>
      <c r="R38" s="9">
        <v>4</v>
      </c>
      <c r="T38" s="10"/>
      <c r="U38" s="11">
        <v>1</v>
      </c>
      <c r="V38" s="12"/>
      <c r="W38" s="13">
        <v>6</v>
      </c>
      <c r="Y38" s="6"/>
      <c r="Z38" s="7"/>
      <c r="AA38" s="8">
        <v>1</v>
      </c>
      <c r="AB38" s="9">
        <v>4</v>
      </c>
      <c r="AD38" s="10"/>
      <c r="AE38" s="11"/>
      <c r="AF38" s="12"/>
      <c r="AG38" s="13">
        <v>6</v>
      </c>
      <c r="AI38" s="6"/>
      <c r="AJ38" s="7"/>
      <c r="AK38" s="8"/>
      <c r="AL38" s="9"/>
      <c r="AN38" s="10"/>
      <c r="AO38" s="11"/>
      <c r="AP38" s="12"/>
      <c r="AQ38" s="13"/>
      <c r="AS38" s="6"/>
      <c r="AT38" s="7"/>
      <c r="AU38" s="8"/>
      <c r="AV38" s="9"/>
      <c r="AX38" s="10"/>
      <c r="AY38" s="11"/>
      <c r="AZ38" s="12"/>
      <c r="BA38" s="13"/>
      <c r="BC38" s="6"/>
      <c r="BD38" s="7"/>
      <c r="BE38" s="8"/>
      <c r="BF38" s="9"/>
      <c r="BG38" s="4"/>
      <c r="BH38" s="46">
        <f t="shared" si="2"/>
        <v>26</v>
      </c>
      <c r="BI38" s="47">
        <f t="shared" si="3"/>
        <v>7.8</v>
      </c>
    </row>
    <row r="39" spans="1:61" x14ac:dyDescent="0.25">
      <c r="A39" s="44" t="s">
        <v>271</v>
      </c>
      <c r="B39" s="45">
        <v>4</v>
      </c>
      <c r="C39" s="44" t="s">
        <v>49</v>
      </c>
      <c r="D39" t="s">
        <v>55</v>
      </c>
      <c r="E39" s="6"/>
      <c r="F39" s="7"/>
      <c r="G39" s="8">
        <v>3</v>
      </c>
      <c r="H39" s="9">
        <v>5</v>
      </c>
      <c r="J39" s="10"/>
      <c r="K39" s="11"/>
      <c r="L39" s="12">
        <v>4</v>
      </c>
      <c r="M39" s="13"/>
      <c r="O39" s="6"/>
      <c r="P39" s="7">
        <v>2</v>
      </c>
      <c r="Q39" s="8">
        <v>3</v>
      </c>
      <c r="R39" s="9"/>
      <c r="T39" s="10"/>
      <c r="U39" s="11">
        <v>1</v>
      </c>
      <c r="V39" s="12"/>
      <c r="W39" s="13">
        <v>2</v>
      </c>
      <c r="Y39" s="6"/>
      <c r="Z39" s="7">
        <v>1</v>
      </c>
      <c r="AA39" s="8"/>
      <c r="AB39" s="9">
        <v>8</v>
      </c>
      <c r="AD39" s="10"/>
      <c r="AE39" s="11"/>
      <c r="AF39" s="12"/>
      <c r="AG39" s="13">
        <v>6</v>
      </c>
      <c r="AI39" s="6"/>
      <c r="AJ39" s="7"/>
      <c r="AK39" s="8"/>
      <c r="AL39" s="9"/>
      <c r="AN39" s="10"/>
      <c r="AO39" s="11"/>
      <c r="AP39" s="12"/>
      <c r="AQ39" s="13"/>
      <c r="AS39" s="6"/>
      <c r="AT39" s="7"/>
      <c r="AU39" s="8"/>
      <c r="AV39" s="9"/>
      <c r="AX39" s="10"/>
      <c r="AY39" s="11"/>
      <c r="AZ39" s="12"/>
      <c r="BA39" s="13"/>
      <c r="BC39" s="6"/>
      <c r="BD39" s="7"/>
      <c r="BE39" s="8"/>
      <c r="BF39" s="9"/>
      <c r="BG39" s="4"/>
      <c r="BH39" s="46">
        <f t="shared" si="2"/>
        <v>35</v>
      </c>
      <c r="BI39" s="47">
        <f t="shared" si="3"/>
        <v>10.5</v>
      </c>
    </row>
    <row r="40" spans="1:61" x14ac:dyDescent="0.25">
      <c r="A40" s="44" t="s">
        <v>272</v>
      </c>
      <c r="B40" s="45">
        <v>4</v>
      </c>
      <c r="C40" s="44" t="s">
        <v>49</v>
      </c>
      <c r="D40" t="s">
        <v>55</v>
      </c>
      <c r="E40" s="6"/>
      <c r="F40" s="7"/>
      <c r="G40" s="8"/>
      <c r="H40" s="9">
        <v>3</v>
      </c>
      <c r="J40" s="10"/>
      <c r="K40" s="11"/>
      <c r="L40" s="12">
        <v>4</v>
      </c>
      <c r="M40" s="13">
        <v>4</v>
      </c>
      <c r="O40" s="6"/>
      <c r="P40" s="7"/>
      <c r="Q40" s="8"/>
      <c r="R40" s="9">
        <v>5</v>
      </c>
      <c r="T40" s="10"/>
      <c r="U40" s="11"/>
      <c r="V40" s="12"/>
      <c r="W40" s="13">
        <v>8</v>
      </c>
      <c r="Y40" s="6"/>
      <c r="Z40" s="7">
        <v>5</v>
      </c>
      <c r="AA40" s="8"/>
      <c r="AB40" s="9">
        <v>4</v>
      </c>
      <c r="AD40" s="10"/>
      <c r="AE40" s="11"/>
      <c r="AF40" s="12"/>
      <c r="AG40" s="13">
        <v>6</v>
      </c>
      <c r="AI40" s="6"/>
      <c r="AJ40" s="7"/>
      <c r="AK40" s="8"/>
      <c r="AL40" s="9"/>
      <c r="AN40" s="10"/>
      <c r="AO40" s="11"/>
      <c r="AP40" s="12"/>
      <c r="AQ40" s="13"/>
      <c r="AS40" s="6"/>
      <c r="AT40" s="7"/>
      <c r="AU40" s="8"/>
      <c r="AV40" s="9"/>
      <c r="AX40" s="10"/>
      <c r="AY40" s="11"/>
      <c r="AZ40" s="12"/>
      <c r="BA40" s="13"/>
      <c r="BC40" s="6"/>
      <c r="BD40" s="7"/>
      <c r="BE40" s="8"/>
      <c r="BF40" s="9"/>
      <c r="BG40" s="4"/>
      <c r="BH40" s="46">
        <f t="shared" si="2"/>
        <v>39</v>
      </c>
      <c r="BI40" s="47">
        <f t="shared" si="3"/>
        <v>11.7</v>
      </c>
    </row>
    <row r="41" spans="1:61" x14ac:dyDescent="0.25">
      <c r="A41" s="44" t="s">
        <v>273</v>
      </c>
      <c r="B41" s="45">
        <v>6</v>
      </c>
      <c r="C41" s="44" t="s">
        <v>49</v>
      </c>
      <c r="D41" t="s">
        <v>50</v>
      </c>
      <c r="E41" s="6">
        <v>8</v>
      </c>
      <c r="F41" s="7">
        <v>4</v>
      </c>
      <c r="G41" s="8">
        <v>5</v>
      </c>
      <c r="H41" s="9"/>
      <c r="J41" s="10"/>
      <c r="K41" s="11"/>
      <c r="L41" s="12">
        <v>2</v>
      </c>
      <c r="M41" s="13">
        <v>10</v>
      </c>
      <c r="O41" s="6"/>
      <c r="P41" s="7"/>
      <c r="Q41" s="8">
        <v>2</v>
      </c>
      <c r="R41" s="9">
        <v>16</v>
      </c>
      <c r="T41" s="10"/>
      <c r="U41" s="11"/>
      <c r="V41" s="12"/>
      <c r="W41" s="13"/>
      <c r="Y41" s="6"/>
      <c r="Z41" s="7"/>
      <c r="AA41" s="8">
        <v>1</v>
      </c>
      <c r="AB41" s="9"/>
      <c r="AD41" s="10">
        <v>3</v>
      </c>
      <c r="AE41" s="11"/>
      <c r="AF41" s="12">
        <v>3</v>
      </c>
      <c r="AG41" s="13">
        <v>5</v>
      </c>
      <c r="AI41" s="6">
        <v>2</v>
      </c>
      <c r="AJ41" s="7"/>
      <c r="AK41" s="8"/>
      <c r="AL41" s="9"/>
      <c r="AN41" s="10"/>
      <c r="AO41" s="11"/>
      <c r="AP41" s="12"/>
      <c r="AQ41" s="13"/>
      <c r="AS41" s="6"/>
      <c r="AT41" s="7"/>
      <c r="AU41" s="8"/>
      <c r="AV41" s="9"/>
      <c r="AX41" s="10"/>
      <c r="AY41" s="11"/>
      <c r="AZ41" s="12"/>
      <c r="BA41" s="13"/>
      <c r="BC41" s="6"/>
      <c r="BD41" s="7"/>
      <c r="BE41" s="8"/>
      <c r="BF41" s="9"/>
      <c r="BG41" s="4"/>
      <c r="BH41" s="46">
        <f t="shared" si="2"/>
        <v>61</v>
      </c>
      <c r="BI41" s="47">
        <f t="shared" si="3"/>
        <v>18.3</v>
      </c>
    </row>
    <row r="42" spans="1:61" x14ac:dyDescent="0.25">
      <c r="A42" s="44" t="s">
        <v>274</v>
      </c>
      <c r="B42" s="45">
        <v>6</v>
      </c>
      <c r="C42" s="44" t="s">
        <v>49</v>
      </c>
      <c r="D42" t="s">
        <v>50</v>
      </c>
      <c r="E42" s="6">
        <v>3</v>
      </c>
      <c r="F42" s="7"/>
      <c r="G42" s="8"/>
      <c r="H42" s="9"/>
      <c r="J42" s="10"/>
      <c r="K42" s="11"/>
      <c r="L42" s="12"/>
      <c r="M42" s="13"/>
      <c r="O42" s="6"/>
      <c r="P42" s="7"/>
      <c r="Q42" s="8"/>
      <c r="R42" s="9">
        <v>5</v>
      </c>
      <c r="T42" s="10"/>
      <c r="U42" s="11"/>
      <c r="V42" s="12"/>
      <c r="W42" s="13">
        <v>10</v>
      </c>
      <c r="Y42" s="6">
        <v>2</v>
      </c>
      <c r="Z42" s="7">
        <v>4</v>
      </c>
      <c r="AA42" s="8"/>
      <c r="AB42" s="9">
        <v>6</v>
      </c>
      <c r="AD42" s="10">
        <v>2</v>
      </c>
      <c r="AE42" s="11"/>
      <c r="AF42" s="12">
        <v>2</v>
      </c>
      <c r="AG42" s="13">
        <v>4</v>
      </c>
      <c r="AI42" s="6"/>
      <c r="AJ42" s="7"/>
      <c r="AK42" s="8"/>
      <c r="AL42" s="9"/>
      <c r="AN42" s="10"/>
      <c r="AO42" s="11"/>
      <c r="AP42" s="12"/>
      <c r="AQ42" s="13"/>
      <c r="AS42" s="6"/>
      <c r="AT42" s="7"/>
      <c r="AU42" s="8"/>
      <c r="AV42" s="9"/>
      <c r="AX42" s="10"/>
      <c r="AY42" s="11"/>
      <c r="AZ42" s="12"/>
      <c r="BA42" s="13"/>
      <c r="BC42" s="6"/>
      <c r="BD42" s="7"/>
      <c r="BE42" s="8"/>
      <c r="BF42" s="9"/>
      <c r="BG42" s="4"/>
      <c r="BH42" s="46">
        <f t="shared" si="2"/>
        <v>38</v>
      </c>
      <c r="BI42" s="47">
        <f t="shared" si="3"/>
        <v>11.4</v>
      </c>
    </row>
    <row r="43" spans="1:61" x14ac:dyDescent="0.25">
      <c r="A43" s="44" t="s">
        <v>275</v>
      </c>
      <c r="B43" s="45">
        <v>6</v>
      </c>
      <c r="C43" s="44" t="s">
        <v>49</v>
      </c>
      <c r="D43" t="s">
        <v>50</v>
      </c>
      <c r="E43" s="6"/>
      <c r="F43" s="7"/>
      <c r="G43" s="8"/>
      <c r="H43" s="9"/>
      <c r="J43" s="10"/>
      <c r="K43" s="11"/>
      <c r="L43" s="12"/>
      <c r="M43" s="13"/>
      <c r="O43" s="6"/>
      <c r="P43" s="7"/>
      <c r="Q43" s="8"/>
      <c r="R43" s="9">
        <v>3</v>
      </c>
      <c r="T43" s="10"/>
      <c r="U43" s="11"/>
      <c r="V43" s="12"/>
      <c r="W43" s="13"/>
      <c r="Y43" s="6"/>
      <c r="Z43" s="7"/>
      <c r="AA43" s="8"/>
      <c r="AB43" s="9">
        <v>2</v>
      </c>
      <c r="AD43" s="10"/>
      <c r="AE43" s="11"/>
      <c r="AF43" s="12"/>
      <c r="AG43" s="13"/>
      <c r="AI43" s="6"/>
      <c r="AJ43" s="7"/>
      <c r="AK43" s="8"/>
      <c r="AL43" s="9"/>
      <c r="AN43" s="10"/>
      <c r="AO43" s="11"/>
      <c r="AP43" s="12"/>
      <c r="AQ43" s="13"/>
      <c r="AS43" s="6"/>
      <c r="AT43" s="7"/>
      <c r="AU43" s="8"/>
      <c r="AV43" s="9"/>
      <c r="AX43" s="10"/>
      <c r="AY43" s="11"/>
      <c r="AZ43" s="12"/>
      <c r="BA43" s="13"/>
      <c r="BC43" s="6"/>
      <c r="BD43" s="7"/>
      <c r="BE43" s="8"/>
      <c r="BF43" s="9"/>
      <c r="BG43" s="4"/>
      <c r="BH43" s="46">
        <f t="shared" si="2"/>
        <v>5</v>
      </c>
      <c r="BI43" s="47">
        <f t="shared" si="3"/>
        <v>1.5</v>
      </c>
    </row>
    <row r="44" spans="1:61" x14ac:dyDescent="0.25">
      <c r="A44" s="44" t="s">
        <v>276</v>
      </c>
      <c r="B44" s="45">
        <v>6</v>
      </c>
      <c r="C44" s="44" t="s">
        <v>49</v>
      </c>
      <c r="D44" t="s">
        <v>50</v>
      </c>
      <c r="E44" s="6"/>
      <c r="F44" s="7">
        <v>4</v>
      </c>
      <c r="G44" s="8">
        <v>3</v>
      </c>
      <c r="H44" s="9">
        <v>4</v>
      </c>
      <c r="J44" s="10"/>
      <c r="K44" s="11"/>
      <c r="L44" s="12">
        <v>3</v>
      </c>
      <c r="M44" s="13">
        <v>5</v>
      </c>
      <c r="O44" s="6">
        <v>3</v>
      </c>
      <c r="P44" s="7">
        <v>4</v>
      </c>
      <c r="Q44" s="8">
        <v>3</v>
      </c>
      <c r="R44" s="9">
        <v>9</v>
      </c>
      <c r="T44" s="10"/>
      <c r="U44" s="11">
        <v>5</v>
      </c>
      <c r="V44" s="12"/>
      <c r="W44" s="13">
        <v>9</v>
      </c>
      <c r="Y44" s="6"/>
      <c r="Z44" s="7">
        <v>4</v>
      </c>
      <c r="AA44" s="8">
        <v>5</v>
      </c>
      <c r="AB44" s="9">
        <v>7</v>
      </c>
      <c r="AD44" s="10">
        <v>3</v>
      </c>
      <c r="AE44" s="11"/>
      <c r="AF44" s="12">
        <v>7</v>
      </c>
      <c r="AG44" s="13">
        <v>8</v>
      </c>
      <c r="AI44" s="6"/>
      <c r="AJ44" s="7">
        <v>2</v>
      </c>
      <c r="AK44" s="8"/>
      <c r="AL44" s="9"/>
      <c r="AN44" s="10"/>
      <c r="AO44" s="11"/>
      <c r="AP44" s="12"/>
      <c r="AQ44" s="13"/>
      <c r="AS44" s="6"/>
      <c r="AT44" s="7"/>
      <c r="AU44" s="8"/>
      <c r="AV44" s="9"/>
      <c r="AX44" s="10"/>
      <c r="AY44" s="11"/>
      <c r="AZ44" s="12"/>
      <c r="BA44" s="13"/>
      <c r="BC44" s="6"/>
      <c r="BD44" s="7"/>
      <c r="BE44" s="8"/>
      <c r="BF44" s="9"/>
      <c r="BG44" s="4"/>
      <c r="BH44" s="46">
        <f t="shared" si="2"/>
        <v>88</v>
      </c>
      <c r="BI44" s="47">
        <f t="shared" si="3"/>
        <v>26.4</v>
      </c>
    </row>
    <row r="45" spans="1:61" x14ac:dyDescent="0.25">
      <c r="A45" s="44" t="s">
        <v>277</v>
      </c>
      <c r="B45" s="45">
        <v>6</v>
      </c>
      <c r="C45" s="44" t="s">
        <v>49</v>
      </c>
      <c r="D45" t="s">
        <v>51</v>
      </c>
      <c r="E45" s="6"/>
      <c r="F45" s="7"/>
      <c r="G45" s="8"/>
      <c r="H45" s="9"/>
      <c r="J45" s="10"/>
      <c r="K45" s="11"/>
      <c r="L45" s="12"/>
      <c r="M45" s="13"/>
      <c r="O45" s="6"/>
      <c r="P45" s="7"/>
      <c r="Q45" s="8"/>
      <c r="R45" s="9">
        <v>5</v>
      </c>
      <c r="T45" s="10"/>
      <c r="U45" s="11"/>
      <c r="V45" s="12"/>
      <c r="W45" s="13">
        <v>2</v>
      </c>
      <c r="Y45" s="6"/>
      <c r="Z45" s="7"/>
      <c r="AA45" s="8"/>
      <c r="AB45" s="9"/>
      <c r="AD45" s="10"/>
      <c r="AE45" s="11"/>
      <c r="AF45" s="12"/>
      <c r="AG45" s="13"/>
      <c r="AI45" s="6"/>
      <c r="AJ45" s="7"/>
      <c r="AK45" s="8"/>
      <c r="AL45" s="9"/>
      <c r="AN45" s="10"/>
      <c r="AO45" s="11"/>
      <c r="AP45" s="12"/>
      <c r="AQ45" s="13"/>
      <c r="AS45" s="6"/>
      <c r="AT45" s="7"/>
      <c r="AU45" s="8"/>
      <c r="AV45" s="9"/>
      <c r="AX45" s="10"/>
      <c r="AY45" s="11"/>
      <c r="AZ45" s="12"/>
      <c r="BA45" s="13"/>
      <c r="BC45" s="6"/>
      <c r="BD45" s="7"/>
      <c r="BE45" s="8"/>
      <c r="BF45" s="9"/>
      <c r="BG45" s="4"/>
      <c r="BH45" s="46">
        <f t="shared" si="2"/>
        <v>7</v>
      </c>
      <c r="BI45" s="47">
        <f t="shared" si="3"/>
        <v>2.1</v>
      </c>
    </row>
    <row r="46" spans="1:61" x14ac:dyDescent="0.25">
      <c r="A46" s="44" t="s">
        <v>278</v>
      </c>
      <c r="B46" s="45">
        <v>6</v>
      </c>
      <c r="C46" s="44" t="s">
        <v>49</v>
      </c>
      <c r="D46" t="s">
        <v>51</v>
      </c>
      <c r="E46" s="6"/>
      <c r="F46" s="7"/>
      <c r="G46" s="8"/>
      <c r="H46" s="9"/>
      <c r="J46" s="10"/>
      <c r="K46" s="11"/>
      <c r="L46" s="12"/>
      <c r="M46" s="13"/>
      <c r="O46" s="6"/>
      <c r="P46" s="7"/>
      <c r="Q46" s="8"/>
      <c r="R46" s="9">
        <v>8</v>
      </c>
      <c r="T46" s="10"/>
      <c r="U46" s="11"/>
      <c r="V46" s="12"/>
      <c r="W46" s="13">
        <v>7</v>
      </c>
      <c r="Y46" s="6"/>
      <c r="Z46" s="7"/>
      <c r="AA46" s="8"/>
      <c r="AB46" s="9">
        <v>6</v>
      </c>
      <c r="AD46" s="10"/>
      <c r="AE46" s="11"/>
      <c r="AF46" s="12"/>
      <c r="AG46" s="13"/>
      <c r="AI46" s="6">
        <v>4</v>
      </c>
      <c r="AJ46" s="7"/>
      <c r="AK46" s="8"/>
      <c r="AL46" s="9"/>
      <c r="AN46" s="10"/>
      <c r="AO46" s="11"/>
      <c r="AP46" s="12"/>
      <c r="AQ46" s="13"/>
      <c r="AS46" s="6"/>
      <c r="AT46" s="7"/>
      <c r="AU46" s="8"/>
      <c r="AV46" s="9"/>
      <c r="AX46" s="10"/>
      <c r="AY46" s="11"/>
      <c r="AZ46" s="12"/>
      <c r="BA46" s="13"/>
      <c r="BC46" s="6"/>
      <c r="BD46" s="7"/>
      <c r="BE46" s="8"/>
      <c r="BF46" s="9"/>
      <c r="BG46" s="4"/>
      <c r="BH46" s="46">
        <f t="shared" si="2"/>
        <v>25</v>
      </c>
      <c r="BI46" s="47">
        <f t="shared" si="3"/>
        <v>7.5</v>
      </c>
    </row>
    <row r="47" spans="1:61" x14ac:dyDescent="0.25">
      <c r="A47" s="44" t="s">
        <v>246</v>
      </c>
      <c r="B47" s="45">
        <v>6</v>
      </c>
      <c r="C47" s="44" t="s">
        <v>49</v>
      </c>
      <c r="D47" t="s">
        <v>51</v>
      </c>
      <c r="E47" s="6"/>
      <c r="F47" s="7"/>
      <c r="G47" s="8"/>
      <c r="H47" s="9">
        <v>3</v>
      </c>
      <c r="J47" s="10"/>
      <c r="K47" s="11"/>
      <c r="L47" s="12">
        <v>3</v>
      </c>
      <c r="M47" s="13">
        <v>3</v>
      </c>
      <c r="O47" s="6">
        <v>2</v>
      </c>
      <c r="P47" s="7"/>
      <c r="Q47" s="8"/>
      <c r="R47" s="9">
        <v>4</v>
      </c>
      <c r="T47" s="10"/>
      <c r="U47" s="11"/>
      <c r="V47" s="12"/>
      <c r="W47" s="13">
        <v>4</v>
      </c>
      <c r="Y47" s="6">
        <v>3</v>
      </c>
      <c r="Z47" s="7"/>
      <c r="AA47" s="8"/>
      <c r="AB47" s="9">
        <v>4</v>
      </c>
      <c r="AD47" s="10"/>
      <c r="AE47" s="11"/>
      <c r="AF47" s="12"/>
      <c r="AG47" s="13">
        <v>3</v>
      </c>
      <c r="AI47" s="6"/>
      <c r="AJ47" s="7"/>
      <c r="AK47" s="8"/>
      <c r="AL47" s="9"/>
      <c r="AN47" s="10"/>
      <c r="AO47" s="11"/>
      <c r="AP47" s="12"/>
      <c r="AQ47" s="13"/>
      <c r="AS47" s="6"/>
      <c r="AT47" s="7"/>
      <c r="AU47" s="8"/>
      <c r="AV47" s="9"/>
      <c r="AX47" s="10"/>
      <c r="AY47" s="11"/>
      <c r="AZ47" s="12"/>
      <c r="BA47" s="13"/>
      <c r="BC47" s="6"/>
      <c r="BD47" s="7"/>
      <c r="BE47" s="8"/>
      <c r="BF47" s="9"/>
      <c r="BG47" s="4"/>
      <c r="BH47" s="46">
        <f t="shared" si="2"/>
        <v>29</v>
      </c>
      <c r="BI47" s="47">
        <f t="shared" si="3"/>
        <v>8.6999999999999993</v>
      </c>
    </row>
    <row r="48" spans="1:61" x14ac:dyDescent="0.25">
      <c r="A48" s="44" t="s">
        <v>245</v>
      </c>
      <c r="B48" s="45">
        <v>7</v>
      </c>
      <c r="C48" s="44" t="s">
        <v>49</v>
      </c>
      <c r="D48" t="s">
        <v>51</v>
      </c>
      <c r="E48" s="6"/>
      <c r="F48" s="7"/>
      <c r="G48" s="8"/>
      <c r="H48" s="9"/>
      <c r="J48" s="10"/>
      <c r="K48" s="11"/>
      <c r="L48" s="12">
        <v>4</v>
      </c>
      <c r="M48" s="13"/>
      <c r="O48" s="6"/>
      <c r="P48" s="7"/>
      <c r="Q48" s="8"/>
      <c r="R48" s="9">
        <v>6</v>
      </c>
      <c r="T48" s="10"/>
      <c r="U48" s="11">
        <v>2</v>
      </c>
      <c r="V48" s="12"/>
      <c r="W48" s="13">
        <v>7</v>
      </c>
      <c r="Y48" s="6"/>
      <c r="Z48" s="7"/>
      <c r="AA48" s="8"/>
      <c r="AB48" s="9">
        <v>1</v>
      </c>
      <c r="AD48" s="10"/>
      <c r="AE48" s="11"/>
      <c r="AF48" s="12"/>
      <c r="AG48" s="13"/>
      <c r="AI48" s="6"/>
      <c r="AJ48" s="7"/>
      <c r="AK48" s="8"/>
      <c r="AL48" s="9"/>
      <c r="AN48" s="10"/>
      <c r="AO48" s="11"/>
      <c r="AP48" s="12"/>
      <c r="AQ48" s="13"/>
      <c r="AS48" s="6"/>
      <c r="AT48" s="7"/>
      <c r="AU48" s="8"/>
      <c r="AV48" s="9"/>
      <c r="AX48" s="10"/>
      <c r="AY48" s="11"/>
      <c r="AZ48" s="12"/>
      <c r="BA48" s="13"/>
      <c r="BC48" s="6"/>
      <c r="BD48" s="7"/>
      <c r="BE48" s="8"/>
      <c r="BF48" s="9"/>
      <c r="BG48" s="4"/>
      <c r="BH48" s="46">
        <f t="shared" si="2"/>
        <v>20</v>
      </c>
      <c r="BI48" s="47">
        <f t="shared" si="3"/>
        <v>6</v>
      </c>
    </row>
    <row r="49" spans="1:61" x14ac:dyDescent="0.25">
      <c r="A49" s="44" t="s">
        <v>244</v>
      </c>
      <c r="B49" s="45">
        <v>7</v>
      </c>
      <c r="C49" s="44" t="s">
        <v>49</v>
      </c>
      <c r="D49" t="s">
        <v>51</v>
      </c>
      <c r="E49" s="6">
        <v>2</v>
      </c>
      <c r="F49" s="7">
        <v>3</v>
      </c>
      <c r="G49" s="8">
        <v>2</v>
      </c>
      <c r="H49" s="9">
        <v>3</v>
      </c>
      <c r="J49" s="10"/>
      <c r="K49" s="11"/>
      <c r="L49" s="12">
        <v>3</v>
      </c>
      <c r="M49" s="13">
        <v>3</v>
      </c>
      <c r="O49" s="6">
        <v>3</v>
      </c>
      <c r="P49" s="7"/>
      <c r="Q49" s="8">
        <v>2</v>
      </c>
      <c r="R49" s="9">
        <v>7</v>
      </c>
      <c r="T49" s="10"/>
      <c r="U49" s="11">
        <v>3</v>
      </c>
      <c r="V49" s="12"/>
      <c r="W49" s="13">
        <v>9</v>
      </c>
      <c r="Y49" s="6">
        <v>4</v>
      </c>
      <c r="Z49" s="7"/>
      <c r="AA49" s="8">
        <v>3</v>
      </c>
      <c r="AB49" s="9">
        <v>6</v>
      </c>
      <c r="AD49" s="10">
        <v>4</v>
      </c>
      <c r="AE49" s="11"/>
      <c r="AF49" s="12">
        <v>3</v>
      </c>
      <c r="AG49" s="13">
        <v>7</v>
      </c>
      <c r="AI49" s="6">
        <v>3</v>
      </c>
      <c r="AJ49" s="7">
        <v>2</v>
      </c>
      <c r="AK49" s="8"/>
      <c r="AL49" s="9"/>
      <c r="AN49" s="10"/>
      <c r="AO49" s="11"/>
      <c r="AP49" s="12"/>
      <c r="AQ49" s="13"/>
      <c r="AS49" s="6"/>
      <c r="AT49" s="7"/>
      <c r="AU49" s="8"/>
      <c r="AV49" s="9"/>
      <c r="AX49" s="10"/>
      <c r="AY49" s="11"/>
      <c r="AZ49" s="12"/>
      <c r="BA49" s="13"/>
      <c r="BC49" s="6"/>
      <c r="BD49" s="7"/>
      <c r="BE49" s="8"/>
      <c r="BF49" s="9"/>
      <c r="BG49" s="4"/>
      <c r="BH49" s="46">
        <f t="shared" si="2"/>
        <v>72</v>
      </c>
      <c r="BI49" s="47">
        <f t="shared" si="3"/>
        <v>21.599999999999998</v>
      </c>
    </row>
    <row r="50" spans="1:61" x14ac:dyDescent="0.25">
      <c r="A50" s="44" t="s">
        <v>243</v>
      </c>
      <c r="B50" s="45">
        <v>7</v>
      </c>
      <c r="C50" s="44" t="s">
        <v>49</v>
      </c>
      <c r="D50" t="s">
        <v>51</v>
      </c>
      <c r="E50" s="6"/>
      <c r="F50" s="7"/>
      <c r="G50" s="8"/>
      <c r="H50" s="9"/>
      <c r="J50" s="10"/>
      <c r="K50" s="11"/>
      <c r="L50" s="12"/>
      <c r="M50" s="13">
        <v>2</v>
      </c>
      <c r="O50" s="6"/>
      <c r="P50" s="7"/>
      <c r="Q50" s="8"/>
      <c r="R50" s="9"/>
      <c r="T50" s="10"/>
      <c r="U50" s="11"/>
      <c r="V50" s="12"/>
      <c r="W50" s="13">
        <v>2</v>
      </c>
      <c r="Y50" s="6"/>
      <c r="Z50" s="7"/>
      <c r="AA50" s="8"/>
      <c r="AB50" s="9">
        <v>4</v>
      </c>
      <c r="AD50" s="10"/>
      <c r="AE50" s="11"/>
      <c r="AF50" s="12"/>
      <c r="AG50" s="13">
        <v>4</v>
      </c>
      <c r="AI50" s="6"/>
      <c r="AJ50" s="7"/>
      <c r="AK50" s="8"/>
      <c r="AL50" s="9"/>
      <c r="AN50" s="10"/>
      <c r="AO50" s="11"/>
      <c r="AP50" s="12"/>
      <c r="AQ50" s="13"/>
      <c r="AS50" s="6"/>
      <c r="AT50" s="7"/>
      <c r="AU50" s="8"/>
      <c r="AV50" s="9"/>
      <c r="AX50" s="10"/>
      <c r="AY50" s="11"/>
      <c r="AZ50" s="12"/>
      <c r="BA50" s="13"/>
      <c r="BC50" s="6"/>
      <c r="BD50" s="7"/>
      <c r="BE50" s="8"/>
      <c r="BF50" s="9"/>
      <c r="BG50" s="4"/>
      <c r="BH50" s="46">
        <f t="shared" si="2"/>
        <v>12</v>
      </c>
      <c r="BI50" s="47">
        <f t="shared" si="3"/>
        <v>3.5999999999999996</v>
      </c>
    </row>
    <row r="51" spans="1:61" x14ac:dyDescent="0.25">
      <c r="A51" s="44" t="s">
        <v>358</v>
      </c>
      <c r="B51" s="45">
        <v>7</v>
      </c>
      <c r="C51" s="44" t="s">
        <v>49</v>
      </c>
      <c r="E51" s="6"/>
      <c r="F51" s="7"/>
      <c r="G51" s="8"/>
      <c r="H51" s="9"/>
      <c r="J51" s="10"/>
      <c r="K51" s="11"/>
      <c r="L51" s="12"/>
      <c r="M51" s="13"/>
      <c r="O51" s="6"/>
      <c r="P51" s="7"/>
      <c r="Q51" s="8"/>
      <c r="R51" s="9">
        <v>1</v>
      </c>
      <c r="T51" s="10"/>
      <c r="U51" s="11"/>
      <c r="V51" s="12"/>
      <c r="W51" s="13"/>
      <c r="Y51" s="6"/>
      <c r="Z51" s="7"/>
      <c r="AA51" s="8"/>
      <c r="AB51" s="9"/>
      <c r="AD51" s="10"/>
      <c r="AE51" s="11"/>
      <c r="AF51" s="12"/>
      <c r="AG51" s="13"/>
      <c r="AI51" s="6"/>
      <c r="AJ51" s="7"/>
      <c r="AK51" s="8"/>
      <c r="AL51" s="9"/>
      <c r="AN51" s="10"/>
      <c r="AO51" s="11"/>
      <c r="AP51" s="12"/>
      <c r="AQ51" s="13"/>
      <c r="AS51" s="6"/>
      <c r="AT51" s="7"/>
      <c r="AU51" s="8"/>
      <c r="AV51" s="9"/>
      <c r="AX51" s="10"/>
      <c r="AY51" s="11"/>
      <c r="AZ51" s="12"/>
      <c r="BA51" s="13"/>
      <c r="BC51" s="6"/>
      <c r="BD51" s="7"/>
      <c r="BE51" s="8"/>
      <c r="BF51" s="9"/>
      <c r="BG51" s="4"/>
      <c r="BH51" s="46">
        <f t="shared" si="2"/>
        <v>1</v>
      </c>
      <c r="BI51" s="47">
        <f t="shared" si="3"/>
        <v>0.3</v>
      </c>
    </row>
    <row r="52" spans="1:61" x14ac:dyDescent="0.25">
      <c r="A52" s="44" t="s">
        <v>242</v>
      </c>
      <c r="B52" s="45">
        <v>8</v>
      </c>
      <c r="C52" s="44" t="s">
        <v>49</v>
      </c>
      <c r="D52" t="s">
        <v>61</v>
      </c>
      <c r="E52" s="6"/>
      <c r="F52" s="7"/>
      <c r="G52" s="8"/>
      <c r="H52" s="9"/>
      <c r="J52" s="10"/>
      <c r="K52" s="11"/>
      <c r="L52" s="12"/>
      <c r="M52" s="13"/>
      <c r="O52" s="6"/>
      <c r="P52" s="7"/>
      <c r="Q52" s="8"/>
      <c r="R52" s="9"/>
      <c r="T52" s="10"/>
      <c r="U52" s="11"/>
      <c r="V52" s="12"/>
      <c r="W52" s="13"/>
      <c r="Y52" s="6"/>
      <c r="Z52" s="7"/>
      <c r="AA52" s="8">
        <v>1</v>
      </c>
      <c r="AB52" s="9">
        <v>1</v>
      </c>
      <c r="AD52" s="10"/>
      <c r="AE52" s="11"/>
      <c r="AF52" s="12"/>
      <c r="AG52" s="13"/>
      <c r="AI52" s="6">
        <v>1</v>
      </c>
      <c r="AJ52" s="7"/>
      <c r="AK52" s="8"/>
      <c r="AL52" s="9"/>
      <c r="AN52" s="10"/>
      <c r="AO52" s="11"/>
      <c r="AP52" s="12"/>
      <c r="AQ52" s="13"/>
      <c r="AS52" s="6"/>
      <c r="AT52" s="7"/>
      <c r="AU52" s="8"/>
      <c r="AV52" s="9"/>
      <c r="AX52" s="10"/>
      <c r="AY52" s="11"/>
      <c r="AZ52" s="12"/>
      <c r="BA52" s="13"/>
      <c r="BC52" s="6"/>
      <c r="BD52" s="7"/>
      <c r="BE52" s="8"/>
      <c r="BF52" s="9"/>
      <c r="BG52" s="4"/>
      <c r="BH52" s="46">
        <f t="shared" si="2"/>
        <v>3</v>
      </c>
      <c r="BI52" s="47">
        <f t="shared" si="3"/>
        <v>0.89999999999999991</v>
      </c>
    </row>
    <row r="53" spans="1:61" x14ac:dyDescent="0.25">
      <c r="A53" s="44" t="s">
        <v>359</v>
      </c>
      <c r="B53" s="45">
        <v>8</v>
      </c>
      <c r="C53" s="44" t="s">
        <v>49</v>
      </c>
      <c r="D53" t="s">
        <v>61</v>
      </c>
      <c r="E53" s="6"/>
      <c r="F53" s="7"/>
      <c r="G53" s="8"/>
      <c r="H53" s="9"/>
      <c r="J53" s="10"/>
      <c r="K53" s="11"/>
      <c r="L53" s="12"/>
      <c r="M53" s="13"/>
      <c r="O53" s="6"/>
      <c r="P53" s="7"/>
      <c r="Q53" s="8"/>
      <c r="R53" s="9"/>
      <c r="T53" s="10"/>
      <c r="U53" s="11"/>
      <c r="V53" s="12"/>
      <c r="W53" s="13"/>
      <c r="Y53" s="6"/>
      <c r="Z53" s="7"/>
      <c r="AA53" s="8"/>
      <c r="AB53" s="9"/>
      <c r="AD53" s="10"/>
      <c r="AE53" s="11"/>
      <c r="AF53" s="12"/>
      <c r="AG53" s="13"/>
      <c r="AI53" s="6"/>
      <c r="AJ53" s="7"/>
      <c r="AK53" s="8"/>
      <c r="AL53" s="9"/>
      <c r="AN53" s="10"/>
      <c r="AO53" s="11"/>
      <c r="AP53" s="12"/>
      <c r="AQ53" s="13"/>
      <c r="AS53" s="6"/>
      <c r="AT53" s="7"/>
      <c r="AU53" s="8"/>
      <c r="AV53" s="9"/>
      <c r="AX53" s="10"/>
      <c r="AY53" s="11"/>
      <c r="AZ53" s="12"/>
      <c r="BA53" s="13"/>
      <c r="BC53" s="6"/>
      <c r="BD53" s="7"/>
      <c r="BE53" s="8"/>
      <c r="BF53" s="9"/>
      <c r="BG53" s="4"/>
      <c r="BH53" s="46">
        <f t="shared" si="2"/>
        <v>0</v>
      </c>
      <c r="BI53" s="47">
        <f t="shared" si="3"/>
        <v>0</v>
      </c>
    </row>
    <row r="54" spans="1:61" x14ac:dyDescent="0.25">
      <c r="A54" s="44" t="s">
        <v>360</v>
      </c>
      <c r="B54" s="45">
        <v>8</v>
      </c>
      <c r="C54" s="44" t="s">
        <v>49</v>
      </c>
      <c r="D54" t="s">
        <v>61</v>
      </c>
      <c r="E54" s="6"/>
      <c r="F54" s="7"/>
      <c r="G54" s="8"/>
      <c r="H54" s="9"/>
      <c r="J54" s="10"/>
      <c r="K54" s="11"/>
      <c r="L54" s="12"/>
      <c r="M54" s="13"/>
      <c r="O54" s="6"/>
      <c r="P54" s="7"/>
      <c r="Q54" s="8"/>
      <c r="R54" s="9"/>
      <c r="T54" s="10"/>
      <c r="U54" s="11"/>
      <c r="V54" s="12"/>
      <c r="W54" s="13"/>
      <c r="Y54" s="6"/>
      <c r="Z54" s="7"/>
      <c r="AA54" s="8"/>
      <c r="AB54" s="9"/>
      <c r="AD54" s="10"/>
      <c r="AE54" s="11"/>
      <c r="AF54" s="12"/>
      <c r="AG54" s="13"/>
      <c r="AI54" s="6"/>
      <c r="AJ54" s="7"/>
      <c r="AK54" s="8"/>
      <c r="AL54" s="9"/>
      <c r="AN54" s="10"/>
      <c r="AO54" s="11"/>
      <c r="AP54" s="12"/>
      <c r="AQ54" s="13"/>
      <c r="AS54" s="6"/>
      <c r="AT54" s="7"/>
      <c r="AU54" s="8"/>
      <c r="AV54" s="9"/>
      <c r="AX54" s="10"/>
      <c r="AY54" s="11"/>
      <c r="AZ54" s="12"/>
      <c r="BA54" s="13"/>
      <c r="BC54" s="6"/>
      <c r="BD54" s="7"/>
      <c r="BE54" s="8"/>
      <c r="BF54" s="9"/>
      <c r="BG54" s="4"/>
      <c r="BH54" s="46">
        <f t="shared" si="2"/>
        <v>0</v>
      </c>
      <c r="BI54" s="47">
        <f t="shared" si="3"/>
        <v>0</v>
      </c>
    </row>
    <row r="55" spans="1:61" x14ac:dyDescent="0.25">
      <c r="A55" s="44" t="s">
        <v>239</v>
      </c>
      <c r="B55" s="45">
        <v>9</v>
      </c>
      <c r="C55" s="44" t="s">
        <v>49</v>
      </c>
      <c r="D55" t="s">
        <v>57</v>
      </c>
      <c r="E55" s="6">
        <v>8</v>
      </c>
      <c r="F55" s="7">
        <v>8</v>
      </c>
      <c r="G55" s="8">
        <v>8</v>
      </c>
      <c r="H55" s="9">
        <v>10</v>
      </c>
      <c r="J55" s="10"/>
      <c r="K55" s="11"/>
      <c r="L55" s="12">
        <v>8</v>
      </c>
      <c r="M55" s="13">
        <v>8</v>
      </c>
      <c r="O55" s="6">
        <v>7</v>
      </c>
      <c r="P55" s="7">
        <v>8</v>
      </c>
      <c r="Q55" s="8">
        <v>10</v>
      </c>
      <c r="R55" s="9">
        <v>15</v>
      </c>
      <c r="T55" s="10"/>
      <c r="U55" s="11">
        <v>4</v>
      </c>
      <c r="V55" s="12"/>
      <c r="W55" s="13">
        <v>14</v>
      </c>
      <c r="Y55" s="6">
        <v>8</v>
      </c>
      <c r="Z55" s="7">
        <v>8</v>
      </c>
      <c r="AA55" s="8">
        <v>3</v>
      </c>
      <c r="AB55" s="9"/>
      <c r="AD55" s="10">
        <v>8</v>
      </c>
      <c r="AE55" s="11"/>
      <c r="AF55" s="12">
        <v>9</v>
      </c>
      <c r="AG55" s="13">
        <v>14</v>
      </c>
      <c r="AI55" s="6">
        <v>7</v>
      </c>
      <c r="AJ55" s="7">
        <v>6</v>
      </c>
      <c r="AK55" s="8"/>
      <c r="AL55" s="9"/>
      <c r="AN55" s="10"/>
      <c r="AO55" s="11"/>
      <c r="AP55" s="12"/>
      <c r="AQ55" s="13"/>
      <c r="AS55" s="6"/>
      <c r="AT55" s="7"/>
      <c r="AU55" s="8"/>
      <c r="AV55" s="9"/>
      <c r="AX55" s="10"/>
      <c r="AY55" s="11"/>
      <c r="AZ55" s="12"/>
      <c r="BA55" s="13"/>
      <c r="BC55" s="6"/>
      <c r="BD55" s="7"/>
      <c r="BE55" s="8"/>
      <c r="BF55" s="9"/>
      <c r="BG55" s="4"/>
      <c r="BH55" s="46">
        <f t="shared" si="2"/>
        <v>171</v>
      </c>
      <c r="BI55" s="47">
        <f t="shared" si="3"/>
        <v>51.3</v>
      </c>
    </row>
    <row r="56" spans="1:61" x14ac:dyDescent="0.25">
      <c r="A56" s="44" t="s">
        <v>238</v>
      </c>
      <c r="B56" s="45">
        <v>9</v>
      </c>
      <c r="C56" s="44" t="s">
        <v>49</v>
      </c>
      <c r="D56" t="s">
        <v>57</v>
      </c>
      <c r="E56" s="6">
        <v>6</v>
      </c>
      <c r="F56" s="7">
        <v>8</v>
      </c>
      <c r="G56" s="8">
        <v>10</v>
      </c>
      <c r="H56" s="9">
        <v>9</v>
      </c>
      <c r="J56" s="10"/>
      <c r="K56" s="11"/>
      <c r="L56" s="12">
        <v>9</v>
      </c>
      <c r="M56" s="13">
        <v>8</v>
      </c>
      <c r="O56" s="6">
        <v>2</v>
      </c>
      <c r="P56" s="7">
        <v>3</v>
      </c>
      <c r="Q56" s="8">
        <v>3</v>
      </c>
      <c r="R56" s="9">
        <v>13</v>
      </c>
      <c r="T56" s="10"/>
      <c r="U56" s="11"/>
      <c r="V56" s="12"/>
      <c r="W56" s="13"/>
      <c r="Y56" s="6"/>
      <c r="Z56" s="7"/>
      <c r="AA56" s="8">
        <v>3</v>
      </c>
      <c r="AB56" s="9">
        <v>5</v>
      </c>
      <c r="AD56" s="10">
        <v>7</v>
      </c>
      <c r="AE56" s="11"/>
      <c r="AF56" s="12">
        <v>8</v>
      </c>
      <c r="AG56" s="13">
        <v>15</v>
      </c>
      <c r="AI56" s="6"/>
      <c r="AJ56" s="7"/>
      <c r="AK56" s="8"/>
      <c r="AL56" s="9"/>
      <c r="AN56" s="10"/>
      <c r="AO56" s="11"/>
      <c r="AP56" s="12"/>
      <c r="AQ56" s="13"/>
      <c r="AS56" s="6"/>
      <c r="AT56" s="7"/>
      <c r="AU56" s="8"/>
      <c r="AV56" s="9"/>
      <c r="AX56" s="10"/>
      <c r="AY56" s="11"/>
      <c r="AZ56" s="12"/>
      <c r="BA56" s="13"/>
      <c r="BC56" s="6"/>
      <c r="BD56" s="7"/>
      <c r="BE56" s="8"/>
      <c r="BF56" s="9"/>
      <c r="BG56" s="4"/>
      <c r="BH56" s="46">
        <f t="shared" si="2"/>
        <v>109</v>
      </c>
      <c r="BI56" s="47">
        <f t="shared" si="3"/>
        <v>32.699999999999996</v>
      </c>
    </row>
    <row r="57" spans="1:61" x14ac:dyDescent="0.25">
      <c r="A57" s="44" t="s">
        <v>237</v>
      </c>
      <c r="B57" s="45">
        <v>8</v>
      </c>
      <c r="C57" s="44" t="s">
        <v>49</v>
      </c>
      <c r="D57" t="s">
        <v>48</v>
      </c>
      <c r="E57" s="6">
        <v>4</v>
      </c>
      <c r="F57" s="7">
        <v>4</v>
      </c>
      <c r="G57" s="8">
        <v>1</v>
      </c>
      <c r="H57" s="9">
        <v>3</v>
      </c>
      <c r="J57" s="10"/>
      <c r="K57" s="11"/>
      <c r="L57" s="12">
        <v>2</v>
      </c>
      <c r="M57" s="13">
        <v>3</v>
      </c>
      <c r="O57" s="6"/>
      <c r="P57" s="7">
        <v>5</v>
      </c>
      <c r="Q57" s="8"/>
      <c r="R57" s="9"/>
      <c r="T57" s="10"/>
      <c r="U57" s="11"/>
      <c r="V57" s="12"/>
      <c r="W57" s="13"/>
      <c r="Y57" s="6">
        <v>2</v>
      </c>
      <c r="Z57" s="7">
        <v>1</v>
      </c>
      <c r="AA57" s="8">
        <v>4</v>
      </c>
      <c r="AB57" s="9"/>
      <c r="AD57" s="10"/>
      <c r="AE57" s="11"/>
      <c r="AF57" s="12"/>
      <c r="AG57" s="13">
        <v>7</v>
      </c>
      <c r="AI57" s="6">
        <v>2</v>
      </c>
      <c r="AJ57" s="7"/>
      <c r="AK57" s="8"/>
      <c r="AL57" s="9"/>
      <c r="AN57" s="10"/>
      <c r="AO57" s="11"/>
      <c r="AP57" s="12"/>
      <c r="AQ57" s="13"/>
      <c r="AS57" s="6"/>
      <c r="AT57" s="7"/>
      <c r="AU57" s="8"/>
      <c r="AV57" s="9"/>
      <c r="AX57" s="10"/>
      <c r="AY57" s="11"/>
      <c r="AZ57" s="12"/>
      <c r="BA57" s="13"/>
      <c r="BC57" s="6"/>
      <c r="BD57" s="7"/>
      <c r="BE57" s="8"/>
      <c r="BF57" s="9"/>
      <c r="BG57" s="4"/>
      <c r="BH57" s="46">
        <f t="shared" si="2"/>
        <v>38</v>
      </c>
      <c r="BI57" s="47">
        <f t="shared" si="3"/>
        <v>11.4</v>
      </c>
    </row>
    <row r="58" spans="1:61" x14ac:dyDescent="0.25">
      <c r="A58" s="44" t="s">
        <v>236</v>
      </c>
      <c r="B58" s="45">
        <v>8</v>
      </c>
      <c r="C58" s="44" t="s">
        <v>49</v>
      </c>
      <c r="D58" t="s">
        <v>48</v>
      </c>
      <c r="E58" s="6">
        <v>2</v>
      </c>
      <c r="F58" s="7">
        <v>1</v>
      </c>
      <c r="G58" s="8"/>
      <c r="H58" s="9">
        <v>3</v>
      </c>
      <c r="J58" s="10"/>
      <c r="K58" s="11"/>
      <c r="L58" s="12"/>
      <c r="M58" s="13">
        <v>2</v>
      </c>
      <c r="O58" s="6"/>
      <c r="P58" s="7"/>
      <c r="Q58" s="8"/>
      <c r="R58" s="9">
        <v>6</v>
      </c>
      <c r="T58" s="10"/>
      <c r="U58" s="11">
        <v>1</v>
      </c>
      <c r="V58" s="12"/>
      <c r="W58" s="13">
        <v>5</v>
      </c>
      <c r="Y58" s="6"/>
      <c r="Z58" s="7">
        <v>1</v>
      </c>
      <c r="AA58" s="8"/>
      <c r="AB58" s="9">
        <v>5</v>
      </c>
      <c r="AD58" s="10"/>
      <c r="AE58" s="11"/>
      <c r="AF58" s="12"/>
      <c r="AG58" s="13">
        <v>10</v>
      </c>
      <c r="AI58" s="6"/>
      <c r="AJ58" s="7"/>
      <c r="AK58" s="8"/>
      <c r="AL58" s="9"/>
      <c r="AN58" s="10"/>
      <c r="AO58" s="11"/>
      <c r="AP58" s="12"/>
      <c r="AQ58" s="13"/>
      <c r="AS58" s="6"/>
      <c r="AT58" s="7"/>
      <c r="AU58" s="8"/>
      <c r="AV58" s="9"/>
      <c r="AX58" s="10"/>
      <c r="AY58" s="11"/>
      <c r="AZ58" s="12"/>
      <c r="BA58" s="13"/>
      <c r="BC58" s="6"/>
      <c r="BD58" s="7"/>
      <c r="BE58" s="8"/>
      <c r="BF58" s="9"/>
      <c r="BG58" s="4"/>
      <c r="BH58" s="46">
        <f t="shared" si="2"/>
        <v>36</v>
      </c>
      <c r="BI58" s="47">
        <f t="shared" si="3"/>
        <v>10.799999999999999</v>
      </c>
    </row>
    <row r="59" spans="1:61" x14ac:dyDescent="0.25">
      <c r="A59" s="44" t="s">
        <v>235</v>
      </c>
      <c r="B59" s="45">
        <v>8</v>
      </c>
      <c r="C59" s="44" t="s">
        <v>49</v>
      </c>
      <c r="D59" t="s">
        <v>48</v>
      </c>
      <c r="E59" s="6"/>
      <c r="F59" s="7"/>
      <c r="G59" s="8"/>
      <c r="H59" s="9"/>
      <c r="J59" s="10"/>
      <c r="K59" s="11"/>
      <c r="L59" s="12"/>
      <c r="M59" s="13"/>
      <c r="O59" s="6"/>
      <c r="P59" s="7"/>
      <c r="Q59" s="8"/>
      <c r="R59" s="9"/>
      <c r="T59" s="10"/>
      <c r="U59" s="11"/>
      <c r="V59" s="12"/>
      <c r="W59" s="13">
        <v>2</v>
      </c>
      <c r="Y59" s="6"/>
      <c r="Z59" s="7"/>
      <c r="AA59" s="8"/>
      <c r="AB59" s="9"/>
      <c r="AD59" s="10"/>
      <c r="AE59" s="11"/>
      <c r="AF59" s="12"/>
      <c r="AG59" s="13"/>
      <c r="AI59" s="6"/>
      <c r="AJ59" s="7"/>
      <c r="AK59" s="8"/>
      <c r="AL59" s="9"/>
      <c r="AN59" s="10"/>
      <c r="AO59" s="11"/>
      <c r="AP59" s="12"/>
      <c r="AQ59" s="13"/>
      <c r="AS59" s="6"/>
      <c r="AT59" s="7"/>
      <c r="AU59" s="8"/>
      <c r="AV59" s="9"/>
      <c r="AX59" s="10"/>
      <c r="AY59" s="11"/>
      <c r="AZ59" s="12"/>
      <c r="BA59" s="13"/>
      <c r="BC59" s="6"/>
      <c r="BD59" s="7"/>
      <c r="BE59" s="8"/>
      <c r="BF59" s="9"/>
      <c r="BG59" s="4"/>
      <c r="BH59" s="46">
        <f t="shared" si="2"/>
        <v>2</v>
      </c>
      <c r="BI59" s="47">
        <f t="shared" si="3"/>
        <v>0.6</v>
      </c>
    </row>
    <row r="60" spans="1:61" x14ac:dyDescent="0.25">
      <c r="A60" s="44" t="s">
        <v>234</v>
      </c>
      <c r="B60" s="45">
        <v>8</v>
      </c>
      <c r="C60" s="44" t="s">
        <v>49</v>
      </c>
      <c r="D60" t="s">
        <v>48</v>
      </c>
      <c r="E60" s="6"/>
      <c r="F60" s="7"/>
      <c r="G60" s="8"/>
      <c r="H60" s="9"/>
      <c r="J60" s="10"/>
      <c r="K60" s="11"/>
      <c r="L60" s="12"/>
      <c r="M60" s="13"/>
      <c r="O60" s="6"/>
      <c r="P60" s="7"/>
      <c r="Q60" s="8"/>
      <c r="R60" s="9"/>
      <c r="T60" s="10"/>
      <c r="U60" s="11"/>
      <c r="V60" s="12"/>
      <c r="W60" s="13"/>
      <c r="Y60" s="6"/>
      <c r="Z60" s="7"/>
      <c r="AA60" s="8"/>
      <c r="AB60" s="9">
        <v>1</v>
      </c>
      <c r="AD60" s="10"/>
      <c r="AE60" s="11"/>
      <c r="AF60" s="12"/>
      <c r="AG60" s="13"/>
      <c r="AI60" s="6"/>
      <c r="AJ60" s="7"/>
      <c r="AK60" s="8"/>
      <c r="AL60" s="9"/>
      <c r="AN60" s="10"/>
      <c r="AO60" s="11"/>
      <c r="AP60" s="12"/>
      <c r="AQ60" s="13"/>
      <c r="AS60" s="6"/>
      <c r="AT60" s="7"/>
      <c r="AU60" s="8"/>
      <c r="AV60" s="9"/>
      <c r="AX60" s="10"/>
      <c r="AY60" s="11"/>
      <c r="AZ60" s="12"/>
      <c r="BA60" s="13"/>
      <c r="BC60" s="6"/>
      <c r="BD60" s="7"/>
      <c r="BE60" s="8"/>
      <c r="BF60" s="9"/>
      <c r="BG60" s="4"/>
      <c r="BH60" s="46">
        <f t="shared" si="2"/>
        <v>1</v>
      </c>
      <c r="BI60" s="47">
        <f t="shared" si="3"/>
        <v>0.3</v>
      </c>
    </row>
    <row r="61" spans="1:61" x14ac:dyDescent="0.25">
      <c r="A61" s="44" t="s">
        <v>361</v>
      </c>
      <c r="B61" s="45">
        <v>8</v>
      </c>
      <c r="C61" s="44" t="s">
        <v>49</v>
      </c>
      <c r="D61" t="s">
        <v>48</v>
      </c>
      <c r="E61" s="6"/>
      <c r="F61" s="7"/>
      <c r="G61" s="8"/>
      <c r="H61" s="9"/>
      <c r="J61" s="10"/>
      <c r="K61" s="11"/>
      <c r="L61" s="12"/>
      <c r="M61" s="13">
        <v>3</v>
      </c>
      <c r="O61" s="6"/>
      <c r="P61" s="7"/>
      <c r="Q61" s="8"/>
      <c r="R61" s="9"/>
      <c r="T61" s="10"/>
      <c r="U61" s="11"/>
      <c r="V61" s="12"/>
      <c r="W61" s="13">
        <v>6</v>
      </c>
      <c r="Y61" s="6">
        <v>2</v>
      </c>
      <c r="Z61" s="7"/>
      <c r="AA61" s="8"/>
      <c r="AB61" s="9">
        <v>2</v>
      </c>
      <c r="AD61" s="10"/>
      <c r="AE61" s="11"/>
      <c r="AF61" s="12"/>
      <c r="AG61" s="13"/>
      <c r="AI61" s="6"/>
      <c r="AJ61" s="7"/>
      <c r="AK61" s="8"/>
      <c r="AL61" s="9"/>
      <c r="AN61" s="10"/>
      <c r="AO61" s="11"/>
      <c r="AP61" s="12"/>
      <c r="AQ61" s="13"/>
      <c r="AS61" s="6"/>
      <c r="AT61" s="7"/>
      <c r="AU61" s="8"/>
      <c r="AV61" s="9"/>
      <c r="AX61" s="10"/>
      <c r="AY61" s="11"/>
      <c r="AZ61" s="12"/>
      <c r="BA61" s="13"/>
      <c r="BC61" s="6"/>
      <c r="BD61" s="7"/>
      <c r="BE61" s="8"/>
      <c r="BF61" s="9"/>
      <c r="BG61" s="4"/>
      <c r="BH61" s="46">
        <f t="shared" si="2"/>
        <v>13</v>
      </c>
      <c r="BI61" s="47">
        <f t="shared" si="3"/>
        <v>3.9</v>
      </c>
    </row>
    <row r="62" spans="1:61" x14ac:dyDescent="0.25">
      <c r="A62" s="44" t="s">
        <v>233</v>
      </c>
      <c r="B62" s="45">
        <v>9</v>
      </c>
      <c r="C62" s="44" t="s">
        <v>49</v>
      </c>
      <c r="D62" t="s">
        <v>48</v>
      </c>
      <c r="E62" s="6"/>
      <c r="F62" s="7"/>
      <c r="G62" s="8"/>
      <c r="H62" s="9"/>
      <c r="J62" s="10"/>
      <c r="K62" s="11"/>
      <c r="L62" s="12"/>
      <c r="M62" s="13"/>
      <c r="O62" s="6"/>
      <c r="P62" s="7"/>
      <c r="Q62" s="8"/>
      <c r="R62" s="9"/>
      <c r="T62" s="10"/>
      <c r="U62" s="11"/>
      <c r="V62" s="12"/>
      <c r="W62" s="13"/>
      <c r="Y62" s="6"/>
      <c r="Z62" s="7"/>
      <c r="AA62" s="8"/>
      <c r="AB62" s="9"/>
      <c r="AD62" s="10"/>
      <c r="AE62" s="11"/>
      <c r="AF62" s="12"/>
      <c r="AG62" s="13"/>
      <c r="AI62" s="6"/>
      <c r="AJ62" s="7"/>
      <c r="AK62" s="8"/>
      <c r="AL62" s="9"/>
      <c r="AN62" s="10"/>
      <c r="AO62" s="11"/>
      <c r="AP62" s="12"/>
      <c r="AQ62" s="13"/>
      <c r="AS62" s="6"/>
      <c r="AT62" s="7"/>
      <c r="AU62" s="8"/>
      <c r="AV62" s="9"/>
      <c r="AX62" s="10"/>
      <c r="AY62" s="11"/>
      <c r="AZ62" s="12"/>
      <c r="BA62" s="13"/>
      <c r="BC62" s="6"/>
      <c r="BD62" s="7"/>
      <c r="BE62" s="8"/>
      <c r="BF62" s="9"/>
      <c r="BG62" s="4"/>
      <c r="BH62" s="46">
        <f t="shared" si="2"/>
        <v>0</v>
      </c>
      <c r="BI62" s="47">
        <f t="shared" si="3"/>
        <v>0</v>
      </c>
    </row>
    <row r="63" spans="1:61" x14ac:dyDescent="0.25">
      <c r="A63" s="44" t="s">
        <v>232</v>
      </c>
      <c r="B63" s="45">
        <v>9</v>
      </c>
      <c r="C63" s="44" t="s">
        <v>49</v>
      </c>
      <c r="D63" t="s">
        <v>48</v>
      </c>
      <c r="E63" s="6"/>
      <c r="F63" s="7"/>
      <c r="G63" s="8"/>
      <c r="H63" s="9"/>
      <c r="J63" s="10"/>
      <c r="K63" s="11"/>
      <c r="L63" s="12"/>
      <c r="M63" s="13"/>
      <c r="O63" s="6"/>
      <c r="P63" s="7"/>
      <c r="Q63" s="8"/>
      <c r="R63" s="9"/>
      <c r="T63" s="10"/>
      <c r="U63" s="11"/>
      <c r="V63" s="12"/>
      <c r="W63" s="13"/>
      <c r="Y63" s="6"/>
      <c r="Z63" s="7"/>
      <c r="AA63" s="8"/>
      <c r="AB63" s="9"/>
      <c r="AD63" s="10"/>
      <c r="AE63" s="11"/>
      <c r="AF63" s="12"/>
      <c r="AG63" s="13"/>
      <c r="AI63" s="6"/>
      <c r="AJ63" s="7"/>
      <c r="AK63" s="8"/>
      <c r="AL63" s="9"/>
      <c r="AN63" s="10"/>
      <c r="AO63" s="11"/>
      <c r="AP63" s="12"/>
      <c r="AQ63" s="13"/>
      <c r="AS63" s="6"/>
      <c r="AT63" s="7"/>
      <c r="AU63" s="8"/>
      <c r="AV63" s="9"/>
      <c r="AX63" s="10"/>
      <c r="AY63" s="11"/>
      <c r="AZ63" s="12"/>
      <c r="BA63" s="13"/>
      <c r="BC63" s="6"/>
      <c r="BD63" s="7"/>
      <c r="BE63" s="8"/>
      <c r="BF63" s="9"/>
      <c r="BG63" s="4"/>
      <c r="BH63" s="46">
        <f t="shared" si="2"/>
        <v>0</v>
      </c>
      <c r="BI63" s="47">
        <f t="shared" si="3"/>
        <v>0</v>
      </c>
    </row>
    <row r="64" spans="1:61" x14ac:dyDescent="0.25">
      <c r="A64" s="44" t="s">
        <v>227</v>
      </c>
      <c r="B64" s="45">
        <v>9</v>
      </c>
      <c r="C64" s="44" t="s">
        <v>49</v>
      </c>
      <c r="D64" t="s">
        <v>48</v>
      </c>
      <c r="E64" s="6"/>
      <c r="F64" s="7">
        <v>4</v>
      </c>
      <c r="G64" s="8"/>
      <c r="H64" s="9"/>
      <c r="J64" s="10"/>
      <c r="K64" s="11"/>
      <c r="L64" s="12">
        <v>2</v>
      </c>
      <c r="M64" s="13"/>
      <c r="O64" s="6"/>
      <c r="P64" s="7"/>
      <c r="Q64" s="8">
        <v>1</v>
      </c>
      <c r="R64" s="9">
        <v>9</v>
      </c>
      <c r="T64" s="10"/>
      <c r="U64" s="11">
        <v>1</v>
      </c>
      <c r="V64" s="12"/>
      <c r="W64" s="13">
        <v>7</v>
      </c>
      <c r="Y64" s="6"/>
      <c r="Z64" s="7">
        <v>5</v>
      </c>
      <c r="AA64" s="8">
        <v>2</v>
      </c>
      <c r="AB64" s="9"/>
      <c r="AD64" s="10"/>
      <c r="AE64" s="11"/>
      <c r="AF64" s="12"/>
      <c r="AG64" s="13">
        <v>4</v>
      </c>
      <c r="AI64" s="6"/>
      <c r="AJ64" s="7"/>
      <c r="AK64" s="8"/>
      <c r="AL64" s="9"/>
      <c r="AN64" s="10"/>
      <c r="AO64" s="11"/>
      <c r="AP64" s="12"/>
      <c r="AQ64" s="13"/>
      <c r="AS64" s="6"/>
      <c r="AT64" s="7"/>
      <c r="AU64" s="8"/>
      <c r="AV64" s="9"/>
      <c r="AX64" s="10"/>
      <c r="AY64" s="11"/>
      <c r="AZ64" s="12"/>
      <c r="BA64" s="13"/>
      <c r="BC64" s="6"/>
      <c r="BD64" s="7"/>
      <c r="BE64" s="8"/>
      <c r="BF64" s="9"/>
      <c r="BG64" s="4"/>
      <c r="BH64" s="46">
        <f t="shared" si="2"/>
        <v>35</v>
      </c>
      <c r="BI64" s="47">
        <f t="shared" si="3"/>
        <v>10.5</v>
      </c>
    </row>
    <row r="65" spans="1:61" x14ac:dyDescent="0.25">
      <c r="A65" s="44" t="s">
        <v>226</v>
      </c>
      <c r="B65" s="45">
        <v>1</v>
      </c>
      <c r="C65" s="44" t="s">
        <v>49</v>
      </c>
      <c r="D65" t="s">
        <v>62</v>
      </c>
      <c r="E65" s="6"/>
      <c r="F65" s="7"/>
      <c r="G65" s="8">
        <v>2</v>
      </c>
      <c r="H65" s="9"/>
      <c r="J65" s="10"/>
      <c r="K65" s="11"/>
      <c r="L65" s="12"/>
      <c r="M65" s="13"/>
      <c r="O65" s="6"/>
      <c r="P65" s="7"/>
      <c r="Q65" s="8"/>
      <c r="R65" s="9">
        <v>7</v>
      </c>
      <c r="T65" s="10"/>
      <c r="U65" s="11"/>
      <c r="V65" s="12"/>
      <c r="W65" s="13">
        <v>4</v>
      </c>
      <c r="Y65" s="6"/>
      <c r="Z65" s="7"/>
      <c r="AA65" s="8"/>
      <c r="AB65" s="9"/>
      <c r="AD65" s="10"/>
      <c r="AE65" s="11"/>
      <c r="AF65" s="12"/>
      <c r="AG65" s="13"/>
      <c r="AI65" s="6"/>
      <c r="AJ65" s="7">
        <v>3</v>
      </c>
      <c r="AK65" s="8"/>
      <c r="AL65" s="9"/>
      <c r="AN65" s="10"/>
      <c r="AO65" s="11"/>
      <c r="AP65" s="12"/>
      <c r="AQ65" s="13"/>
      <c r="AS65" s="6"/>
      <c r="AT65" s="7"/>
      <c r="AU65" s="8"/>
      <c r="AV65" s="9"/>
      <c r="AX65" s="10"/>
      <c r="AY65" s="11"/>
      <c r="AZ65" s="12"/>
      <c r="BA65" s="13"/>
      <c r="BC65" s="6"/>
      <c r="BD65" s="7"/>
      <c r="BE65" s="8"/>
      <c r="BF65" s="9"/>
      <c r="BG65" s="4"/>
      <c r="BH65" s="46">
        <f t="shared" si="2"/>
        <v>16</v>
      </c>
      <c r="BI65" s="47">
        <f t="shared" si="3"/>
        <v>4.8</v>
      </c>
    </row>
    <row r="66" spans="1:61" x14ac:dyDescent="0.25">
      <c r="A66" s="44" t="s">
        <v>225</v>
      </c>
      <c r="B66" s="45">
        <v>1</v>
      </c>
      <c r="C66" s="44" t="s">
        <v>49</v>
      </c>
      <c r="D66" t="s">
        <v>62</v>
      </c>
      <c r="E66" s="6">
        <v>1</v>
      </c>
      <c r="F66" s="7">
        <v>2</v>
      </c>
      <c r="G66" s="8"/>
      <c r="H66" s="9"/>
      <c r="J66" s="10"/>
      <c r="K66" s="11"/>
      <c r="L66" s="12"/>
      <c r="M66" s="13"/>
      <c r="O66" s="6"/>
      <c r="P66" s="7"/>
      <c r="Q66" s="8"/>
      <c r="R66" s="9">
        <v>1</v>
      </c>
      <c r="T66" s="10"/>
      <c r="U66" s="11"/>
      <c r="V66" s="12"/>
      <c r="W66" s="13">
        <v>2</v>
      </c>
      <c r="Y66" s="6"/>
      <c r="Z66" s="7">
        <v>1</v>
      </c>
      <c r="AA66" s="8">
        <v>1</v>
      </c>
      <c r="AB66" s="9">
        <v>3</v>
      </c>
      <c r="AD66" s="10">
        <v>1</v>
      </c>
      <c r="AE66" s="11"/>
      <c r="AF66" s="12">
        <v>3</v>
      </c>
      <c r="AG66" s="13">
        <v>2</v>
      </c>
      <c r="AI66" s="6"/>
      <c r="AJ66" s="7"/>
      <c r="AK66" s="8"/>
      <c r="AL66" s="9"/>
      <c r="AN66" s="10"/>
      <c r="AO66" s="11"/>
      <c r="AP66" s="12"/>
      <c r="AQ66" s="13"/>
      <c r="AS66" s="6"/>
      <c r="AT66" s="7"/>
      <c r="AU66" s="8"/>
      <c r="AV66" s="9"/>
      <c r="AX66" s="10"/>
      <c r="AY66" s="11"/>
      <c r="AZ66" s="12"/>
      <c r="BA66" s="13"/>
      <c r="BC66" s="6"/>
      <c r="BD66" s="7"/>
      <c r="BE66" s="8"/>
      <c r="BF66" s="9"/>
      <c r="BG66" s="4"/>
      <c r="BH66" s="46">
        <f t="shared" ref="BH66:BH67" si="6">SUM(E66:BF66)</f>
        <v>17</v>
      </c>
      <c r="BI66" s="47">
        <f t="shared" ref="BI66:BI67" si="7">(SUM(E66:BG66)*$D$2)</f>
        <v>5.0999999999999996</v>
      </c>
    </row>
    <row r="67" spans="1:61" x14ac:dyDescent="0.25">
      <c r="A67" s="44" t="s">
        <v>414</v>
      </c>
      <c r="B67" s="45">
        <v>1</v>
      </c>
      <c r="C67" s="44" t="s">
        <v>49</v>
      </c>
      <c r="D67" t="s">
        <v>62</v>
      </c>
      <c r="E67" s="6">
        <v>1</v>
      </c>
      <c r="F67" s="7">
        <v>1</v>
      </c>
      <c r="G67" s="8"/>
      <c r="H67" s="9"/>
      <c r="J67" s="10"/>
      <c r="K67" s="11"/>
      <c r="L67" s="12"/>
      <c r="M67" s="13"/>
      <c r="O67" s="6"/>
      <c r="P67" s="7"/>
      <c r="Q67" s="8"/>
      <c r="R67" s="9">
        <v>5</v>
      </c>
      <c r="T67" s="10"/>
      <c r="U67" s="11"/>
      <c r="V67" s="12"/>
      <c r="W67" s="13">
        <v>3</v>
      </c>
      <c r="Y67" s="6"/>
      <c r="Z67" s="7">
        <v>1</v>
      </c>
      <c r="AA67" s="8"/>
      <c r="AB67" s="9"/>
      <c r="AD67" s="10"/>
      <c r="AE67" s="11"/>
      <c r="AF67" s="12"/>
      <c r="AG67" s="13"/>
      <c r="AI67" s="6"/>
      <c r="AJ67" s="7"/>
      <c r="AK67" s="8"/>
      <c r="AL67" s="9"/>
      <c r="AN67" s="10"/>
      <c r="AO67" s="11"/>
      <c r="AP67" s="12"/>
      <c r="AQ67" s="13"/>
      <c r="AS67" s="6"/>
      <c r="AT67" s="7"/>
      <c r="AU67" s="8"/>
      <c r="AV67" s="9"/>
      <c r="AX67" s="10"/>
      <c r="AY67" s="11"/>
      <c r="AZ67" s="12"/>
      <c r="BA67" s="13"/>
      <c r="BC67" s="6"/>
      <c r="BD67" s="7"/>
      <c r="BE67" s="8"/>
      <c r="BF67" s="9"/>
      <c r="BG67" s="4"/>
      <c r="BH67" s="46">
        <f t="shared" si="6"/>
        <v>11</v>
      </c>
      <c r="BI67" s="47">
        <f t="shared" si="7"/>
        <v>3.3</v>
      </c>
    </row>
    <row r="68" spans="1:61" x14ac:dyDescent="0.25">
      <c r="A68" s="44" t="s">
        <v>224</v>
      </c>
      <c r="B68" s="44" t="s">
        <v>53</v>
      </c>
      <c r="C68" s="44" t="s">
        <v>49</v>
      </c>
      <c r="D68" t="s">
        <v>54</v>
      </c>
      <c r="E68" s="6">
        <v>2</v>
      </c>
      <c r="F68" s="7">
        <v>5</v>
      </c>
      <c r="G68" s="8"/>
      <c r="H68" s="9">
        <v>1</v>
      </c>
      <c r="J68" s="10"/>
      <c r="K68" s="11"/>
      <c r="L68" s="12"/>
      <c r="M68" s="13"/>
      <c r="O68" s="6"/>
      <c r="P68" s="7"/>
      <c r="Q68" s="8"/>
      <c r="R68" s="9">
        <v>4</v>
      </c>
      <c r="T68" s="10"/>
      <c r="U68" s="11">
        <v>4</v>
      </c>
      <c r="V68" s="12"/>
      <c r="W68" s="13">
        <v>5</v>
      </c>
      <c r="Y68" s="6"/>
      <c r="Z68" s="7">
        <v>2</v>
      </c>
      <c r="AA68" s="8">
        <v>4</v>
      </c>
      <c r="AB68" s="9">
        <v>2</v>
      </c>
      <c r="AD68" s="10">
        <v>1</v>
      </c>
      <c r="AE68" s="11"/>
      <c r="AF68" s="12">
        <v>2</v>
      </c>
      <c r="AG68" s="13">
        <v>6</v>
      </c>
      <c r="AI68" s="6">
        <v>1</v>
      </c>
      <c r="AJ68" s="7"/>
      <c r="AK68" s="8"/>
      <c r="AL68" s="9"/>
      <c r="AN68" s="10"/>
      <c r="AO68" s="11"/>
      <c r="AP68" s="12"/>
      <c r="AQ68" s="13"/>
      <c r="AS68" s="6"/>
      <c r="AT68" s="7"/>
      <c r="AU68" s="8"/>
      <c r="AV68" s="9"/>
      <c r="AX68" s="10"/>
      <c r="AY68" s="11"/>
      <c r="AZ68" s="12"/>
      <c r="BA68" s="13"/>
      <c r="BC68" s="6"/>
      <c r="BD68" s="7"/>
      <c r="BE68" s="8"/>
      <c r="BF68" s="9"/>
      <c r="BG68" s="4"/>
      <c r="BH68" s="46">
        <f t="shared" si="2"/>
        <v>39</v>
      </c>
      <c r="BI68" s="47">
        <f t="shared" si="3"/>
        <v>11.7</v>
      </c>
    </row>
    <row r="69" spans="1:61" x14ac:dyDescent="0.25">
      <c r="A69" s="44" t="s">
        <v>410</v>
      </c>
      <c r="B69" s="44" t="s">
        <v>53</v>
      </c>
      <c r="C69" s="44" t="s">
        <v>49</v>
      </c>
      <c r="D69" t="s">
        <v>54</v>
      </c>
      <c r="E69" s="6">
        <v>4</v>
      </c>
      <c r="F69" s="7">
        <v>6</v>
      </c>
      <c r="G69" s="8">
        <v>5</v>
      </c>
      <c r="H69" s="9">
        <v>5</v>
      </c>
      <c r="J69" s="10"/>
      <c r="K69" s="11"/>
      <c r="L69" s="12"/>
      <c r="M69" s="13"/>
      <c r="O69" s="6"/>
      <c r="P69" s="7"/>
      <c r="Q69" s="8"/>
      <c r="R69" s="9">
        <v>5</v>
      </c>
      <c r="T69" s="10"/>
      <c r="U69" s="11">
        <v>4</v>
      </c>
      <c r="V69" s="12"/>
      <c r="W69" s="13">
        <v>8</v>
      </c>
      <c r="Y69" s="6"/>
      <c r="Z69" s="7">
        <v>2</v>
      </c>
      <c r="AA69" s="8">
        <v>1</v>
      </c>
      <c r="AB69" s="9">
        <v>2</v>
      </c>
      <c r="AD69" s="10">
        <v>3</v>
      </c>
      <c r="AE69" s="11"/>
      <c r="AF69" s="12">
        <v>3</v>
      </c>
      <c r="AG69" s="13">
        <v>5</v>
      </c>
      <c r="AI69" s="6">
        <v>1</v>
      </c>
      <c r="AJ69" s="7"/>
      <c r="AK69" s="8"/>
      <c r="AL69" s="9"/>
      <c r="AN69" s="10"/>
      <c r="AO69" s="11"/>
      <c r="AP69" s="12"/>
      <c r="AQ69" s="13"/>
      <c r="AS69" s="6"/>
      <c r="AT69" s="7"/>
      <c r="AU69" s="8"/>
      <c r="AV69" s="9"/>
      <c r="AX69" s="10"/>
      <c r="AY69" s="11"/>
      <c r="AZ69" s="12"/>
      <c r="BA69" s="13"/>
      <c r="BC69" s="6"/>
      <c r="BD69" s="7"/>
      <c r="BE69" s="8"/>
      <c r="BF69" s="9"/>
      <c r="BG69" s="4"/>
      <c r="BH69" s="46">
        <f t="shared" si="2"/>
        <v>54</v>
      </c>
      <c r="BI69" s="47">
        <f t="shared" si="3"/>
        <v>16.2</v>
      </c>
    </row>
    <row r="70" spans="1:61" x14ac:dyDescent="0.25">
      <c r="A70" s="44" t="s">
        <v>411</v>
      </c>
      <c r="B70" s="44" t="s">
        <v>53</v>
      </c>
      <c r="C70" s="44" t="s">
        <v>49</v>
      </c>
      <c r="D70" t="s">
        <v>54</v>
      </c>
      <c r="E70" s="6"/>
      <c r="F70" s="7"/>
      <c r="G70" s="8"/>
      <c r="H70" s="9"/>
      <c r="J70" s="10"/>
      <c r="K70" s="11"/>
      <c r="L70" s="12"/>
      <c r="M70" s="13"/>
      <c r="O70" s="6"/>
      <c r="P70" s="7">
        <v>1</v>
      </c>
      <c r="Q70" s="8">
        <v>2</v>
      </c>
      <c r="R70" s="9">
        <v>4</v>
      </c>
      <c r="T70" s="10"/>
      <c r="U70" s="11">
        <v>1</v>
      </c>
      <c r="V70" s="12"/>
      <c r="W70" s="13"/>
      <c r="Y70" s="6"/>
      <c r="Z70" s="7"/>
      <c r="AA70" s="8"/>
      <c r="AB70" s="9"/>
      <c r="AD70" s="10"/>
      <c r="AE70" s="11"/>
      <c r="AF70" s="12">
        <v>2</v>
      </c>
      <c r="AG70" s="13">
        <v>2</v>
      </c>
      <c r="AI70" s="6"/>
      <c r="AJ70" s="7"/>
      <c r="AK70" s="8"/>
      <c r="AL70" s="9"/>
      <c r="AN70" s="10"/>
      <c r="AO70" s="11"/>
      <c r="AP70" s="12"/>
      <c r="AQ70" s="13"/>
      <c r="AS70" s="6"/>
      <c r="AT70" s="7"/>
      <c r="AU70" s="8"/>
      <c r="AV70" s="9"/>
      <c r="AX70" s="10"/>
      <c r="AY70" s="11"/>
      <c r="AZ70" s="12"/>
      <c r="BA70" s="13"/>
      <c r="BC70" s="6"/>
      <c r="BD70" s="7"/>
      <c r="BE70" s="8"/>
      <c r="BF70" s="9"/>
      <c r="BG70" s="4"/>
      <c r="BH70" s="46">
        <f t="shared" si="2"/>
        <v>12</v>
      </c>
      <c r="BI70" s="47">
        <f t="shared" si="3"/>
        <v>3.5999999999999996</v>
      </c>
    </row>
    <row r="71" spans="1:61" x14ac:dyDescent="0.25">
      <c r="A71" s="44" t="s">
        <v>412</v>
      </c>
      <c r="B71" s="44" t="s">
        <v>53</v>
      </c>
      <c r="C71" s="44" t="s">
        <v>49</v>
      </c>
      <c r="D71" t="s">
        <v>54</v>
      </c>
      <c r="E71" s="6"/>
      <c r="F71" s="7"/>
      <c r="G71" s="8"/>
      <c r="H71" s="9"/>
      <c r="J71" s="10"/>
      <c r="K71" s="11"/>
      <c r="L71" s="12"/>
      <c r="M71" s="13"/>
      <c r="O71" s="6"/>
      <c r="P71" s="7"/>
      <c r="Q71" s="8"/>
      <c r="R71" s="9"/>
      <c r="T71" s="10"/>
      <c r="U71" s="11"/>
      <c r="V71" s="12"/>
      <c r="W71" s="13">
        <v>1</v>
      </c>
      <c r="Y71" s="6"/>
      <c r="Z71" s="7"/>
      <c r="AA71" s="8"/>
      <c r="AB71" s="9"/>
      <c r="AD71" s="10"/>
      <c r="AE71" s="11"/>
      <c r="AF71" s="12"/>
      <c r="AG71" s="13"/>
      <c r="AI71" s="6"/>
      <c r="AJ71" s="7"/>
      <c r="AK71" s="8"/>
      <c r="AL71" s="9"/>
      <c r="AN71" s="10"/>
      <c r="AO71" s="11"/>
      <c r="AP71" s="12"/>
      <c r="AQ71" s="13"/>
      <c r="AS71" s="6"/>
      <c r="AT71" s="7"/>
      <c r="AU71" s="8"/>
      <c r="AV71" s="9"/>
      <c r="AX71" s="10"/>
      <c r="AY71" s="11"/>
      <c r="AZ71" s="12"/>
      <c r="BA71" s="13"/>
      <c r="BC71" s="6"/>
      <c r="BD71" s="7"/>
      <c r="BE71" s="8"/>
      <c r="BF71" s="9"/>
      <c r="BG71" s="4"/>
      <c r="BH71" s="46">
        <f t="shared" si="2"/>
        <v>1</v>
      </c>
      <c r="BI71" s="47">
        <f t="shared" si="3"/>
        <v>0.3</v>
      </c>
    </row>
    <row r="72" spans="1:61" x14ac:dyDescent="0.25">
      <c r="A72" s="44" t="s">
        <v>220</v>
      </c>
      <c r="B72" s="45">
        <v>3</v>
      </c>
      <c r="C72" s="44" t="s">
        <v>49</v>
      </c>
      <c r="D72" t="s">
        <v>56</v>
      </c>
      <c r="E72" s="6"/>
      <c r="F72" s="7"/>
      <c r="G72" s="8">
        <v>4</v>
      </c>
      <c r="H72" s="9">
        <v>7</v>
      </c>
      <c r="J72" s="10"/>
      <c r="K72" s="11"/>
      <c r="L72" s="12"/>
      <c r="M72" s="13">
        <v>4</v>
      </c>
      <c r="O72" s="6">
        <v>6</v>
      </c>
      <c r="P72" s="7"/>
      <c r="Q72" s="8">
        <v>6</v>
      </c>
      <c r="R72" s="9">
        <v>13</v>
      </c>
      <c r="T72" s="10"/>
      <c r="U72" s="11">
        <v>6</v>
      </c>
      <c r="V72" s="12"/>
      <c r="W72" s="13">
        <v>10</v>
      </c>
      <c r="Y72" s="6">
        <v>7</v>
      </c>
      <c r="Z72" s="7">
        <v>11</v>
      </c>
      <c r="AA72" s="8">
        <v>5</v>
      </c>
      <c r="AB72" s="9">
        <v>12</v>
      </c>
      <c r="AD72" s="10">
        <v>9</v>
      </c>
      <c r="AE72" s="11"/>
      <c r="AF72" s="12">
        <v>6</v>
      </c>
      <c r="AG72" s="13">
        <v>12</v>
      </c>
      <c r="AI72" s="6">
        <v>7</v>
      </c>
      <c r="AJ72" s="7">
        <v>4</v>
      </c>
      <c r="AK72" s="8"/>
      <c r="AL72" s="9"/>
      <c r="AN72" s="10"/>
      <c r="AO72" s="11"/>
      <c r="AP72" s="12"/>
      <c r="AQ72" s="13"/>
      <c r="AS72" s="6"/>
      <c r="AT72" s="7"/>
      <c r="AU72" s="8"/>
      <c r="AV72" s="9"/>
      <c r="AX72" s="10"/>
      <c r="AY72" s="11"/>
      <c r="AZ72" s="12"/>
      <c r="BA72" s="13"/>
      <c r="BC72" s="6"/>
      <c r="BD72" s="7"/>
      <c r="BE72" s="8"/>
      <c r="BF72" s="9"/>
      <c r="BG72" s="4"/>
      <c r="BH72" s="46">
        <f t="shared" ref="BH72:BH83" si="8">SUM(E72:BF72)</f>
        <v>129</v>
      </c>
      <c r="BI72" s="47">
        <f t="shared" ref="BI72:BI83" si="9">(SUM(E72:BG72)*$D$2)</f>
        <v>38.699999999999996</v>
      </c>
    </row>
    <row r="73" spans="1:61" x14ac:dyDescent="0.25">
      <c r="A73" s="44" t="s">
        <v>426</v>
      </c>
      <c r="B73" s="45"/>
      <c r="C73" s="44" t="s">
        <v>49</v>
      </c>
      <c r="E73" s="6"/>
      <c r="F73" s="7"/>
      <c r="G73" s="8"/>
      <c r="H73" s="9"/>
      <c r="J73" s="10"/>
      <c r="K73" s="11"/>
      <c r="L73" s="12"/>
      <c r="M73" s="13"/>
      <c r="O73" s="6"/>
      <c r="P73" s="7"/>
      <c r="Q73" s="8"/>
      <c r="R73" s="9">
        <v>3</v>
      </c>
      <c r="T73" s="10"/>
      <c r="U73" s="11"/>
      <c r="V73" s="12"/>
      <c r="W73" s="13">
        <v>6</v>
      </c>
      <c r="Y73" s="6">
        <v>2</v>
      </c>
      <c r="Z73" s="7"/>
      <c r="AA73" s="8"/>
      <c r="AB73" s="9">
        <v>2</v>
      </c>
      <c r="AD73" s="10">
        <v>1</v>
      </c>
      <c r="AE73" s="11"/>
      <c r="AF73" s="12"/>
      <c r="AG73" s="13"/>
      <c r="AI73" s="6"/>
      <c r="AJ73" s="7"/>
      <c r="AK73" s="8"/>
      <c r="AL73" s="9"/>
      <c r="AN73" s="10"/>
      <c r="AO73" s="11"/>
      <c r="AP73" s="12"/>
      <c r="AQ73" s="13"/>
      <c r="AS73" s="6"/>
      <c r="AT73" s="7"/>
      <c r="AU73" s="8"/>
      <c r="AV73" s="9"/>
      <c r="AX73" s="10"/>
      <c r="AY73" s="11"/>
      <c r="AZ73" s="12"/>
      <c r="BA73" s="13"/>
      <c r="BC73" s="6"/>
      <c r="BD73" s="7"/>
      <c r="BE73" s="8"/>
      <c r="BF73" s="9"/>
      <c r="BG73" s="4"/>
      <c r="BH73" s="46">
        <f t="shared" si="8"/>
        <v>14</v>
      </c>
      <c r="BI73" s="47">
        <f t="shared" si="9"/>
        <v>4.2</v>
      </c>
    </row>
    <row r="74" spans="1:61" x14ac:dyDescent="0.25">
      <c r="A74" s="44" t="s">
        <v>425</v>
      </c>
      <c r="B74" s="45"/>
      <c r="C74" s="44" t="s">
        <v>49</v>
      </c>
      <c r="E74" s="6"/>
      <c r="F74" s="7"/>
      <c r="G74" s="8"/>
      <c r="H74" s="9"/>
      <c r="J74" s="10"/>
      <c r="K74" s="11"/>
      <c r="L74" s="12"/>
      <c r="M74" s="13"/>
      <c r="O74" s="6"/>
      <c r="P74" s="7"/>
      <c r="Q74" s="8"/>
      <c r="R74" s="9">
        <v>1</v>
      </c>
      <c r="T74" s="10"/>
      <c r="U74" s="11"/>
      <c r="V74" s="12"/>
      <c r="W74" s="13">
        <v>2</v>
      </c>
      <c r="Y74" s="6"/>
      <c r="Z74" s="7"/>
      <c r="AA74" s="8"/>
      <c r="AB74" s="9"/>
      <c r="AD74" s="10"/>
      <c r="AE74" s="11"/>
      <c r="AF74" s="12"/>
      <c r="AG74" s="13"/>
      <c r="AI74" s="6"/>
      <c r="AJ74" s="7"/>
      <c r="AK74" s="8"/>
      <c r="AL74" s="9"/>
      <c r="AN74" s="10"/>
      <c r="AO74" s="11"/>
      <c r="AP74" s="12"/>
      <c r="AQ74" s="13"/>
      <c r="AS74" s="6"/>
      <c r="AT74" s="7"/>
      <c r="AU74" s="8"/>
      <c r="AV74" s="9"/>
      <c r="AX74" s="10"/>
      <c r="AY74" s="11"/>
      <c r="AZ74" s="12"/>
      <c r="BA74" s="13"/>
      <c r="BC74" s="6"/>
      <c r="BD74" s="7"/>
      <c r="BE74" s="8"/>
      <c r="BF74" s="9"/>
      <c r="BG74" s="4"/>
      <c r="BH74" s="46">
        <f t="shared" si="8"/>
        <v>3</v>
      </c>
      <c r="BI74" s="47">
        <f t="shared" si="9"/>
        <v>0.89999999999999991</v>
      </c>
    </row>
    <row r="75" spans="1:61" x14ac:dyDescent="0.25">
      <c r="A75" s="44" t="s">
        <v>427</v>
      </c>
      <c r="B75" s="45"/>
      <c r="C75" s="44" t="s">
        <v>49</v>
      </c>
      <c r="E75" s="6"/>
      <c r="F75" s="7"/>
      <c r="G75" s="8"/>
      <c r="H75" s="9"/>
      <c r="J75" s="10"/>
      <c r="K75" s="11"/>
      <c r="L75" s="12"/>
      <c r="M75" s="13"/>
      <c r="O75" s="6"/>
      <c r="P75" s="7"/>
      <c r="Q75" s="8"/>
      <c r="R75" s="9">
        <v>2</v>
      </c>
      <c r="T75" s="10"/>
      <c r="U75" s="11"/>
      <c r="V75" s="12"/>
      <c r="W75" s="13">
        <v>2</v>
      </c>
      <c r="Y75" s="6"/>
      <c r="Z75" s="7"/>
      <c r="AA75" s="8"/>
      <c r="AB75" s="9">
        <v>4</v>
      </c>
      <c r="AD75" s="10"/>
      <c r="AE75" s="11"/>
      <c r="AF75" s="12"/>
      <c r="AG75" s="13"/>
      <c r="AI75" s="6"/>
      <c r="AJ75" s="7"/>
      <c r="AK75" s="8"/>
      <c r="AL75" s="9"/>
      <c r="AN75" s="10"/>
      <c r="AO75" s="11"/>
      <c r="AP75" s="12"/>
      <c r="AQ75" s="13"/>
      <c r="AS75" s="6"/>
      <c r="AT75" s="7"/>
      <c r="AU75" s="8"/>
      <c r="AV75" s="9"/>
      <c r="AX75" s="10"/>
      <c r="AY75" s="11"/>
      <c r="AZ75" s="12"/>
      <c r="BA75" s="13"/>
      <c r="BC75" s="6"/>
      <c r="BD75" s="7"/>
      <c r="BE75" s="8"/>
      <c r="BF75" s="9"/>
      <c r="BG75" s="4"/>
      <c r="BH75" s="46">
        <f t="shared" si="8"/>
        <v>8</v>
      </c>
      <c r="BI75" s="47">
        <f t="shared" si="9"/>
        <v>2.4</v>
      </c>
    </row>
    <row r="76" spans="1:61" x14ac:dyDescent="0.25">
      <c r="A76" s="44" t="s">
        <v>428</v>
      </c>
      <c r="B76" s="45"/>
      <c r="C76" s="44" t="s">
        <v>49</v>
      </c>
      <c r="E76" s="6"/>
      <c r="F76" s="7"/>
      <c r="G76" s="8"/>
      <c r="H76" s="9"/>
      <c r="J76" s="10"/>
      <c r="K76" s="11"/>
      <c r="L76" s="12"/>
      <c r="M76" s="13"/>
      <c r="O76" s="6"/>
      <c r="P76" s="7"/>
      <c r="Q76" s="8"/>
      <c r="R76" s="9">
        <v>1</v>
      </c>
      <c r="T76" s="10"/>
      <c r="U76" s="11"/>
      <c r="V76" s="12"/>
      <c r="W76" s="13"/>
      <c r="Y76" s="6"/>
      <c r="Z76" s="7"/>
      <c r="AA76" s="8"/>
      <c r="AB76" s="9"/>
      <c r="AD76" s="10"/>
      <c r="AE76" s="11"/>
      <c r="AF76" s="12"/>
      <c r="AG76" s="13"/>
      <c r="AI76" s="6"/>
      <c r="AJ76" s="7"/>
      <c r="AK76" s="8"/>
      <c r="AL76" s="9"/>
      <c r="AN76" s="10"/>
      <c r="AO76" s="11"/>
      <c r="AP76" s="12"/>
      <c r="AQ76" s="13"/>
      <c r="AS76" s="6"/>
      <c r="AT76" s="7"/>
      <c r="AU76" s="8"/>
      <c r="AV76" s="9"/>
      <c r="AX76" s="10"/>
      <c r="AY76" s="11"/>
      <c r="AZ76" s="12"/>
      <c r="BA76" s="13"/>
      <c r="BC76" s="6"/>
      <c r="BD76" s="7"/>
      <c r="BE76" s="8"/>
      <c r="BF76" s="9"/>
      <c r="BG76" s="4"/>
      <c r="BH76" s="46">
        <f t="shared" si="8"/>
        <v>1</v>
      </c>
      <c r="BI76" s="47">
        <f t="shared" si="9"/>
        <v>0.3</v>
      </c>
    </row>
    <row r="77" spans="1:61" x14ac:dyDescent="0.25">
      <c r="A77" s="44" t="s">
        <v>419</v>
      </c>
      <c r="B77" s="45" t="s">
        <v>53</v>
      </c>
      <c r="C77" s="44" t="s">
        <v>49</v>
      </c>
      <c r="E77" s="6"/>
      <c r="F77" s="7"/>
      <c r="G77" s="8"/>
      <c r="H77" s="9"/>
      <c r="J77" s="10"/>
      <c r="K77" s="11"/>
      <c r="L77" s="12"/>
      <c r="M77" s="13">
        <v>2</v>
      </c>
      <c r="O77" s="6"/>
      <c r="P77" s="7"/>
      <c r="Q77" s="8"/>
      <c r="R77" s="9">
        <v>1</v>
      </c>
      <c r="T77" s="10"/>
      <c r="U77" s="11"/>
      <c r="V77" s="12"/>
      <c r="W77" s="13">
        <v>3</v>
      </c>
      <c r="Y77" s="6"/>
      <c r="Z77" s="7"/>
      <c r="AA77" s="8"/>
      <c r="AB77" s="9"/>
      <c r="AD77" s="10"/>
      <c r="AE77" s="11"/>
      <c r="AF77" s="12"/>
      <c r="AG77" s="13"/>
      <c r="AI77" s="6"/>
      <c r="AJ77" s="7"/>
      <c r="AK77" s="8"/>
      <c r="AL77" s="9"/>
      <c r="AN77" s="10"/>
      <c r="AO77" s="11"/>
      <c r="AP77" s="12"/>
      <c r="AQ77" s="13"/>
      <c r="AS77" s="6"/>
      <c r="AT77" s="7"/>
      <c r="AU77" s="8"/>
      <c r="AV77" s="9"/>
      <c r="AX77" s="10"/>
      <c r="AY77" s="11"/>
      <c r="AZ77" s="12"/>
      <c r="BA77" s="13"/>
      <c r="BC77" s="6"/>
      <c r="BD77" s="7"/>
      <c r="BE77" s="8"/>
      <c r="BF77" s="9"/>
      <c r="BG77" s="4"/>
      <c r="BH77" s="46">
        <f t="shared" si="8"/>
        <v>6</v>
      </c>
      <c r="BI77" s="47">
        <f t="shared" si="9"/>
        <v>1.7999999999999998</v>
      </c>
    </row>
    <row r="78" spans="1:61" x14ac:dyDescent="0.25">
      <c r="A78" s="44" t="s">
        <v>415</v>
      </c>
      <c r="B78" s="45" t="s">
        <v>335</v>
      </c>
      <c r="C78" s="44" t="s">
        <v>49</v>
      </c>
      <c r="E78" s="6"/>
      <c r="F78" s="7"/>
      <c r="G78" s="8"/>
      <c r="H78" s="9"/>
      <c r="J78" s="10"/>
      <c r="K78" s="11"/>
      <c r="L78" s="12"/>
      <c r="M78" s="13"/>
      <c r="O78" s="6"/>
      <c r="P78" s="7"/>
      <c r="Q78" s="8"/>
      <c r="R78" s="9"/>
      <c r="T78" s="10"/>
      <c r="U78" s="11"/>
      <c r="V78" s="12"/>
      <c r="W78" s="13">
        <v>3</v>
      </c>
      <c r="Y78" s="6"/>
      <c r="Z78" s="7"/>
      <c r="AA78" s="8"/>
      <c r="AB78" s="9">
        <v>1</v>
      </c>
      <c r="AD78" s="10"/>
      <c r="AE78" s="11"/>
      <c r="AF78" s="12"/>
      <c r="AG78" s="13"/>
      <c r="AI78" s="6"/>
      <c r="AJ78" s="7"/>
      <c r="AK78" s="8"/>
      <c r="AL78" s="9"/>
      <c r="AN78" s="10"/>
      <c r="AO78" s="11"/>
      <c r="AP78" s="12"/>
      <c r="AQ78" s="13"/>
      <c r="AS78" s="6"/>
      <c r="AT78" s="7"/>
      <c r="AU78" s="8"/>
      <c r="AV78" s="9"/>
      <c r="AX78" s="10"/>
      <c r="AY78" s="11"/>
      <c r="AZ78" s="12"/>
      <c r="BA78" s="13"/>
      <c r="BC78" s="6"/>
      <c r="BD78" s="7"/>
      <c r="BE78" s="8"/>
      <c r="BF78" s="9"/>
      <c r="BG78" s="4"/>
      <c r="BH78" s="46">
        <f t="shared" ref="BH78:BH82" si="10">SUM(E78:BF78)</f>
        <v>4</v>
      </c>
      <c r="BI78" s="47">
        <f t="shared" ref="BI78:BI82" si="11">(SUM(E78:BG78)*$D$2)</f>
        <v>1.2</v>
      </c>
    </row>
    <row r="79" spans="1:61" x14ac:dyDescent="0.25">
      <c r="A79" s="44" t="s">
        <v>444</v>
      </c>
      <c r="B79" s="45"/>
      <c r="C79" s="44" t="s">
        <v>49</v>
      </c>
      <c r="E79" s="6"/>
      <c r="F79" s="7"/>
      <c r="G79" s="8"/>
      <c r="H79" s="9"/>
      <c r="J79" s="10"/>
      <c r="K79" s="11"/>
      <c r="L79" s="12"/>
      <c r="M79" s="13"/>
      <c r="O79" s="6"/>
      <c r="P79" s="7"/>
      <c r="Q79" s="8"/>
      <c r="R79" s="9"/>
      <c r="T79" s="10"/>
      <c r="U79" s="11">
        <v>3</v>
      </c>
      <c r="V79" s="12"/>
      <c r="W79" s="13">
        <v>3</v>
      </c>
      <c r="Y79" s="6"/>
      <c r="Z79" s="7"/>
      <c r="AA79" s="8"/>
      <c r="AB79" s="9"/>
      <c r="AD79" s="10"/>
      <c r="AE79" s="11"/>
      <c r="AF79" s="12"/>
      <c r="AG79" s="13">
        <v>2</v>
      </c>
      <c r="AI79" s="6"/>
      <c r="AJ79" s="7"/>
      <c r="AK79" s="8"/>
      <c r="AL79" s="9"/>
      <c r="AN79" s="10"/>
      <c r="AO79" s="11"/>
      <c r="AP79" s="12"/>
      <c r="AQ79" s="13"/>
      <c r="AS79" s="6"/>
      <c r="AT79" s="7"/>
      <c r="AU79" s="8"/>
      <c r="AV79" s="9"/>
      <c r="AX79" s="10"/>
      <c r="AY79" s="11"/>
      <c r="AZ79" s="12"/>
      <c r="BA79" s="13"/>
      <c r="BC79" s="6"/>
      <c r="BD79" s="7"/>
      <c r="BE79" s="8"/>
      <c r="BF79" s="9"/>
      <c r="BG79" s="4"/>
      <c r="BH79" s="46">
        <f t="shared" si="10"/>
        <v>8</v>
      </c>
      <c r="BI79" s="47">
        <f t="shared" si="11"/>
        <v>2.4</v>
      </c>
    </row>
    <row r="80" spans="1:61" x14ac:dyDescent="0.25">
      <c r="A80" s="44" t="s">
        <v>445</v>
      </c>
      <c r="B80" s="45"/>
      <c r="C80" s="44" t="s">
        <v>49</v>
      </c>
      <c r="E80" s="6"/>
      <c r="F80" s="7"/>
      <c r="G80" s="8"/>
      <c r="H80" s="9"/>
      <c r="J80" s="10"/>
      <c r="K80" s="11"/>
      <c r="L80" s="12"/>
      <c r="M80" s="13"/>
      <c r="O80" s="6"/>
      <c r="P80" s="7"/>
      <c r="Q80" s="8"/>
      <c r="R80" s="9"/>
      <c r="T80" s="10"/>
      <c r="U80" s="11"/>
      <c r="V80" s="12"/>
      <c r="W80" s="13">
        <v>6</v>
      </c>
      <c r="Y80" s="6"/>
      <c r="Z80" s="7"/>
      <c r="AA80" s="8"/>
      <c r="AB80" s="9">
        <v>6</v>
      </c>
      <c r="AD80" s="10"/>
      <c r="AE80" s="11"/>
      <c r="AF80" s="12"/>
      <c r="AG80" s="13">
        <v>6</v>
      </c>
      <c r="AI80" s="6"/>
      <c r="AJ80" s="7"/>
      <c r="AK80" s="8"/>
      <c r="AL80" s="9"/>
      <c r="AN80" s="10"/>
      <c r="AO80" s="11"/>
      <c r="AP80" s="12"/>
      <c r="AQ80" s="13"/>
      <c r="AS80" s="6"/>
      <c r="AT80" s="7"/>
      <c r="AU80" s="8"/>
      <c r="AV80" s="9"/>
      <c r="AX80" s="10"/>
      <c r="AY80" s="11"/>
      <c r="AZ80" s="12"/>
      <c r="BA80" s="13"/>
      <c r="BC80" s="6"/>
      <c r="BD80" s="7"/>
      <c r="BE80" s="8"/>
      <c r="BF80" s="9"/>
      <c r="BG80" s="4"/>
      <c r="BH80" s="46">
        <f t="shared" si="10"/>
        <v>18</v>
      </c>
      <c r="BI80" s="47">
        <f t="shared" si="11"/>
        <v>5.3999999999999995</v>
      </c>
    </row>
    <row r="81" spans="1:61" x14ac:dyDescent="0.25">
      <c r="A81" s="44" t="s">
        <v>446</v>
      </c>
      <c r="B81" s="45"/>
      <c r="C81" s="44" t="s">
        <v>49</v>
      </c>
      <c r="E81" s="6"/>
      <c r="F81" s="7"/>
      <c r="G81" s="8"/>
      <c r="H81" s="9"/>
      <c r="J81" s="10"/>
      <c r="K81" s="11"/>
      <c r="L81" s="12"/>
      <c r="M81" s="13"/>
      <c r="O81" s="6"/>
      <c r="P81" s="7"/>
      <c r="Q81" s="8"/>
      <c r="R81" s="9"/>
      <c r="T81" s="10"/>
      <c r="U81" s="11"/>
      <c r="V81" s="12"/>
      <c r="W81" s="13">
        <v>2</v>
      </c>
      <c r="Y81" s="6"/>
      <c r="Z81" s="7"/>
      <c r="AA81" s="8"/>
      <c r="AB81" s="9"/>
      <c r="AD81" s="10"/>
      <c r="AE81" s="11"/>
      <c r="AF81" s="12"/>
      <c r="AG81" s="13"/>
      <c r="AI81" s="6"/>
      <c r="AJ81" s="7"/>
      <c r="AK81" s="8"/>
      <c r="AL81" s="9"/>
      <c r="AN81" s="10"/>
      <c r="AO81" s="11"/>
      <c r="AP81" s="12"/>
      <c r="AQ81" s="13"/>
      <c r="AS81" s="6"/>
      <c r="AT81" s="7"/>
      <c r="AU81" s="8"/>
      <c r="AV81" s="9"/>
      <c r="AX81" s="10"/>
      <c r="AY81" s="11"/>
      <c r="AZ81" s="12"/>
      <c r="BA81" s="13"/>
      <c r="BC81" s="6"/>
      <c r="BD81" s="7"/>
      <c r="BE81" s="8"/>
      <c r="BF81" s="9"/>
      <c r="BG81" s="4"/>
      <c r="BH81" s="46">
        <f t="shared" si="10"/>
        <v>2</v>
      </c>
      <c r="BI81" s="47">
        <f t="shared" si="11"/>
        <v>0.6</v>
      </c>
    </row>
    <row r="82" spans="1:61" x14ac:dyDescent="0.25">
      <c r="A82" s="44" t="s">
        <v>451</v>
      </c>
      <c r="B82" s="45"/>
      <c r="C82" s="44" t="s">
        <v>49</v>
      </c>
      <c r="E82" s="6"/>
      <c r="F82" s="7"/>
      <c r="G82" s="8"/>
      <c r="H82" s="9"/>
      <c r="J82" s="10"/>
      <c r="K82" s="11"/>
      <c r="L82" s="12"/>
      <c r="M82" s="13"/>
      <c r="O82" s="6"/>
      <c r="P82" s="7"/>
      <c r="Q82" s="8"/>
      <c r="R82" s="9"/>
      <c r="T82" s="10"/>
      <c r="U82" s="11"/>
      <c r="V82" s="12"/>
      <c r="W82" s="13"/>
      <c r="Y82" s="6"/>
      <c r="Z82" s="7"/>
      <c r="AA82" s="8"/>
      <c r="AB82" s="9">
        <v>4</v>
      </c>
      <c r="AD82" s="10"/>
      <c r="AE82" s="11"/>
      <c r="AF82" s="12"/>
      <c r="AG82" s="13"/>
      <c r="AI82" s="6"/>
      <c r="AJ82" s="7"/>
      <c r="AK82" s="8"/>
      <c r="AL82" s="9"/>
      <c r="AN82" s="10"/>
      <c r="AO82" s="11"/>
      <c r="AP82" s="12"/>
      <c r="AQ82" s="13"/>
      <c r="AS82" s="6"/>
      <c r="AT82" s="7"/>
      <c r="AU82" s="8"/>
      <c r="AV82" s="9"/>
      <c r="AX82" s="10"/>
      <c r="AY82" s="11"/>
      <c r="AZ82" s="12"/>
      <c r="BA82" s="13"/>
      <c r="BC82" s="6"/>
      <c r="BD82" s="7"/>
      <c r="BE82" s="8"/>
      <c r="BF82" s="9"/>
      <c r="BG82" s="4"/>
      <c r="BH82" s="46">
        <f t="shared" si="10"/>
        <v>4</v>
      </c>
      <c r="BI82" s="47">
        <f t="shared" si="11"/>
        <v>1.2</v>
      </c>
    </row>
    <row r="83" spans="1:61" x14ac:dyDescent="0.25">
      <c r="A83" s="44" t="s">
        <v>452</v>
      </c>
      <c r="B83" s="45"/>
      <c r="C83" s="44" t="s">
        <v>49</v>
      </c>
      <c r="E83" s="6"/>
      <c r="F83" s="7"/>
      <c r="G83" s="8"/>
      <c r="H83" s="9"/>
      <c r="J83" s="10"/>
      <c r="K83" s="11"/>
      <c r="L83" s="12"/>
      <c r="M83" s="13"/>
      <c r="O83" s="6"/>
      <c r="P83" s="7"/>
      <c r="Q83" s="8"/>
      <c r="R83" s="9"/>
      <c r="T83" s="10"/>
      <c r="U83" s="11"/>
      <c r="V83" s="12"/>
      <c r="W83" s="13"/>
      <c r="Y83" s="6"/>
      <c r="Z83" s="7"/>
      <c r="AA83" s="8"/>
      <c r="AB83" s="9">
        <v>2</v>
      </c>
      <c r="AD83" s="10">
        <v>2</v>
      </c>
      <c r="AE83" s="11"/>
      <c r="AF83" s="12"/>
      <c r="AG83" s="13">
        <v>2</v>
      </c>
      <c r="AI83" s="6"/>
      <c r="AJ83" s="7"/>
      <c r="AK83" s="8"/>
      <c r="AL83" s="9"/>
      <c r="AN83" s="10"/>
      <c r="AO83" s="11"/>
      <c r="AP83" s="12"/>
      <c r="AQ83" s="13"/>
      <c r="AS83" s="6"/>
      <c r="AT83" s="7"/>
      <c r="AU83" s="8"/>
      <c r="AV83" s="9"/>
      <c r="AX83" s="10"/>
      <c r="AY83" s="11"/>
      <c r="AZ83" s="12"/>
      <c r="BA83" s="13"/>
      <c r="BC83" s="6"/>
      <c r="BD83" s="7"/>
      <c r="BE83" s="8"/>
      <c r="BF83" s="9"/>
      <c r="BG83" s="4"/>
      <c r="BH83" s="46">
        <f t="shared" si="8"/>
        <v>6</v>
      </c>
      <c r="BI83" s="47">
        <f t="shared" si="9"/>
        <v>1.7999999999999998</v>
      </c>
    </row>
    <row r="84" spans="1:61" x14ac:dyDescent="0.25">
      <c r="E84" s="6"/>
      <c r="F84" s="7"/>
      <c r="G84" s="8"/>
      <c r="H84" s="9"/>
      <c r="J84" s="10"/>
      <c r="K84" s="11"/>
      <c r="L84" s="12"/>
      <c r="M84" s="13"/>
      <c r="O84" s="6"/>
      <c r="P84" s="7"/>
      <c r="Q84" s="8"/>
      <c r="R84" s="9"/>
      <c r="T84" s="10"/>
      <c r="U84" s="11"/>
      <c r="V84" s="12"/>
      <c r="W84" s="13"/>
      <c r="Y84" s="6"/>
      <c r="Z84" s="7"/>
      <c r="AA84" s="8"/>
      <c r="AB84" s="9"/>
      <c r="AD84" s="10"/>
      <c r="AE84" s="11"/>
      <c r="AF84" s="12"/>
      <c r="AG84" s="13"/>
      <c r="AI84" s="6"/>
      <c r="AJ84" s="7"/>
      <c r="AK84" s="8"/>
      <c r="AL84" s="9"/>
      <c r="AN84" s="10"/>
      <c r="AO84" s="11"/>
      <c r="AP84" s="12"/>
      <c r="AQ84" s="13"/>
      <c r="AS84" s="6"/>
      <c r="AT84" s="7"/>
      <c r="AU84" s="8"/>
      <c r="AV84" s="9"/>
      <c r="AX84" s="10"/>
      <c r="AY84" s="11"/>
      <c r="AZ84" s="12"/>
      <c r="BA84" s="13"/>
      <c r="BC84" s="6"/>
      <c r="BD84" s="7"/>
      <c r="BE84" s="8"/>
      <c r="BF84" s="9"/>
      <c r="BG84" s="4"/>
      <c r="BH84" s="46"/>
      <c r="BI84" s="47"/>
    </row>
    <row r="85" spans="1:61" x14ac:dyDescent="0.25">
      <c r="A85" s="42" t="s">
        <v>219</v>
      </c>
      <c r="B85" s="43">
        <v>1</v>
      </c>
      <c r="C85" s="42" t="s">
        <v>64</v>
      </c>
      <c r="D85" t="s">
        <v>52</v>
      </c>
      <c r="E85" s="6"/>
      <c r="F85" s="7"/>
      <c r="G85" s="8"/>
      <c r="H85" s="9"/>
      <c r="J85" s="10"/>
      <c r="K85" s="11"/>
      <c r="L85" s="12"/>
      <c r="M85" s="13"/>
      <c r="O85" s="6"/>
      <c r="P85" s="7"/>
      <c r="Q85" s="8"/>
      <c r="R85" s="9"/>
      <c r="T85" s="10"/>
      <c r="U85" s="11"/>
      <c r="V85" s="12"/>
      <c r="W85" s="13"/>
      <c r="Y85" s="6"/>
      <c r="Z85" s="7"/>
      <c r="AA85" s="8"/>
      <c r="AB85" s="9"/>
      <c r="AD85" s="10"/>
      <c r="AE85" s="11"/>
      <c r="AF85" s="12"/>
      <c r="AG85" s="13"/>
      <c r="AI85" s="6"/>
      <c r="AJ85" s="7">
        <v>1</v>
      </c>
      <c r="AK85" s="8"/>
      <c r="AL85" s="9"/>
      <c r="AN85" s="10"/>
      <c r="AO85" s="11"/>
      <c r="AP85" s="12"/>
      <c r="AQ85" s="13"/>
      <c r="AS85" s="6"/>
      <c r="AT85" s="7"/>
      <c r="AU85" s="8"/>
      <c r="AV85" s="9"/>
      <c r="AX85" s="10"/>
      <c r="AY85" s="11"/>
      <c r="AZ85" s="12"/>
      <c r="BA85" s="13"/>
      <c r="BC85" s="6"/>
      <c r="BD85" s="7"/>
      <c r="BE85" s="8"/>
      <c r="BF85" s="9"/>
      <c r="BG85" s="4"/>
      <c r="BH85" s="46">
        <f t="shared" ref="BH85" si="12">SUM(E85:BF85)</f>
        <v>1</v>
      </c>
      <c r="BI85" s="47">
        <f t="shared" ref="BI85" si="13">(SUM(E85:BG85)*$D$2)</f>
        <v>0.3</v>
      </c>
    </row>
    <row r="86" spans="1:61" x14ac:dyDescent="0.25">
      <c r="A86" s="42" t="s">
        <v>218</v>
      </c>
      <c r="B86" s="43">
        <v>1</v>
      </c>
      <c r="C86" s="42" t="s">
        <v>64</v>
      </c>
      <c r="D86" t="s">
        <v>52</v>
      </c>
      <c r="E86" s="6"/>
      <c r="F86" s="7"/>
      <c r="G86" s="8"/>
      <c r="H86" s="9"/>
      <c r="J86" s="10"/>
      <c r="K86" s="11"/>
      <c r="L86" s="12"/>
      <c r="M86" s="13"/>
      <c r="O86" s="6"/>
      <c r="P86" s="7"/>
      <c r="Q86" s="8"/>
      <c r="R86" s="9">
        <v>3</v>
      </c>
      <c r="T86" s="10"/>
      <c r="U86" s="11"/>
      <c r="V86" s="12"/>
      <c r="W86" s="13">
        <v>4</v>
      </c>
      <c r="Y86" s="6"/>
      <c r="Z86" s="7"/>
      <c r="AA86" s="8"/>
      <c r="AB86" s="9"/>
      <c r="AD86" s="10"/>
      <c r="AE86" s="11"/>
      <c r="AF86" s="12"/>
      <c r="AG86" s="13"/>
      <c r="AI86" s="6"/>
      <c r="AJ86" s="7"/>
      <c r="AK86" s="8"/>
      <c r="AL86" s="9"/>
      <c r="AN86" s="10"/>
      <c r="AO86" s="11"/>
      <c r="AP86" s="12"/>
      <c r="AQ86" s="13"/>
      <c r="AS86" s="6"/>
      <c r="AT86" s="7"/>
      <c r="AU86" s="8"/>
      <c r="AV86" s="9"/>
      <c r="AX86" s="10"/>
      <c r="AY86" s="11"/>
      <c r="AZ86" s="12"/>
      <c r="BA86" s="13"/>
      <c r="BC86" s="6"/>
      <c r="BD86" s="7"/>
      <c r="BE86" s="8"/>
      <c r="BF86" s="9"/>
      <c r="BG86" s="4"/>
      <c r="BH86" s="46">
        <f t="shared" si="2"/>
        <v>7</v>
      </c>
      <c r="BI86" s="47">
        <f t="shared" si="3"/>
        <v>2.1</v>
      </c>
    </row>
    <row r="87" spans="1:61" x14ac:dyDescent="0.25">
      <c r="A87" s="42" t="s">
        <v>362</v>
      </c>
      <c r="B87" s="43">
        <v>1</v>
      </c>
      <c r="C87" s="42" t="s">
        <v>64</v>
      </c>
      <c r="D87" t="s">
        <v>52</v>
      </c>
      <c r="E87" s="6"/>
      <c r="F87" s="7"/>
      <c r="G87" s="8"/>
      <c r="H87" s="9"/>
      <c r="J87" s="10"/>
      <c r="K87" s="11"/>
      <c r="L87" s="12"/>
      <c r="M87" s="13"/>
      <c r="O87" s="6"/>
      <c r="P87" s="7"/>
      <c r="Q87" s="8"/>
      <c r="R87" s="9">
        <v>1</v>
      </c>
      <c r="T87" s="10"/>
      <c r="U87" s="11"/>
      <c r="V87" s="12"/>
      <c r="W87" s="13"/>
      <c r="Y87" s="6"/>
      <c r="Z87" s="7"/>
      <c r="AA87" s="8"/>
      <c r="AB87" s="9">
        <v>1</v>
      </c>
      <c r="AD87" s="10"/>
      <c r="AE87" s="11"/>
      <c r="AF87" s="12"/>
      <c r="AG87" s="13"/>
      <c r="AI87" s="6"/>
      <c r="AJ87" s="7"/>
      <c r="AK87" s="8"/>
      <c r="AL87" s="9"/>
      <c r="AN87" s="10"/>
      <c r="AO87" s="11"/>
      <c r="AP87" s="12"/>
      <c r="AQ87" s="13"/>
      <c r="AS87" s="6"/>
      <c r="AT87" s="7"/>
      <c r="AU87" s="8"/>
      <c r="AV87" s="9"/>
      <c r="AX87" s="10"/>
      <c r="AY87" s="11"/>
      <c r="AZ87" s="12"/>
      <c r="BA87" s="13"/>
      <c r="BC87" s="6"/>
      <c r="BD87" s="7"/>
      <c r="BE87" s="8"/>
      <c r="BF87" s="9"/>
      <c r="BG87" s="4"/>
      <c r="BH87" s="46">
        <f t="shared" si="2"/>
        <v>2</v>
      </c>
      <c r="BI87" s="47">
        <f t="shared" si="3"/>
        <v>0.6</v>
      </c>
    </row>
    <row r="88" spans="1:61" x14ac:dyDescent="0.25">
      <c r="A88" s="42" t="s">
        <v>217</v>
      </c>
      <c r="B88" s="43">
        <v>2</v>
      </c>
      <c r="C88" s="42" t="s">
        <v>64</v>
      </c>
      <c r="D88" t="s">
        <v>52</v>
      </c>
      <c r="E88" s="6"/>
      <c r="F88" s="7"/>
      <c r="G88" s="8"/>
      <c r="H88" s="9"/>
      <c r="J88" s="10"/>
      <c r="K88" s="11"/>
      <c r="L88" s="12"/>
      <c r="M88" s="13"/>
      <c r="O88" s="6"/>
      <c r="P88" s="7"/>
      <c r="Q88" s="8"/>
      <c r="R88" s="9"/>
      <c r="T88" s="10"/>
      <c r="U88" s="11"/>
      <c r="V88" s="12"/>
      <c r="W88" s="13"/>
      <c r="Y88" s="6"/>
      <c r="Z88" s="7"/>
      <c r="AA88" s="8"/>
      <c r="AB88" s="9"/>
      <c r="AD88" s="10"/>
      <c r="AE88" s="11"/>
      <c r="AF88" s="12"/>
      <c r="AG88" s="13"/>
      <c r="AI88" s="6"/>
      <c r="AJ88" s="7"/>
      <c r="AK88" s="8"/>
      <c r="AL88" s="9"/>
      <c r="AN88" s="10"/>
      <c r="AO88" s="11"/>
      <c r="AP88" s="12"/>
      <c r="AQ88" s="13"/>
      <c r="AS88" s="6"/>
      <c r="AT88" s="7"/>
      <c r="AU88" s="8"/>
      <c r="AV88" s="9"/>
      <c r="AX88" s="10"/>
      <c r="AY88" s="11"/>
      <c r="AZ88" s="12"/>
      <c r="BA88" s="13"/>
      <c r="BC88" s="6"/>
      <c r="BD88" s="7"/>
      <c r="BE88" s="8"/>
      <c r="BF88" s="9"/>
      <c r="BG88" s="4"/>
      <c r="BH88" s="46">
        <f t="shared" ref="BH88:BH173" si="14">SUM(E88:BF88)</f>
        <v>0</v>
      </c>
      <c r="BI88" s="47">
        <f t="shared" ref="BI88:BI173" si="15">(SUM(E88:BG88)*$D$2)</f>
        <v>0</v>
      </c>
    </row>
    <row r="89" spans="1:61" x14ac:dyDescent="0.25">
      <c r="A89" s="42" t="s">
        <v>216</v>
      </c>
      <c r="B89" s="43">
        <v>2</v>
      </c>
      <c r="C89" s="42" t="s">
        <v>64</v>
      </c>
      <c r="D89" t="s">
        <v>52</v>
      </c>
      <c r="E89" s="6"/>
      <c r="F89" s="7"/>
      <c r="G89" s="8"/>
      <c r="H89" s="9"/>
      <c r="J89" s="10"/>
      <c r="K89" s="11"/>
      <c r="L89" s="12"/>
      <c r="M89" s="13"/>
      <c r="O89" s="6"/>
      <c r="P89" s="7"/>
      <c r="Q89" s="8"/>
      <c r="R89" s="9"/>
      <c r="T89" s="10"/>
      <c r="U89" s="11"/>
      <c r="V89" s="12"/>
      <c r="W89" s="13">
        <v>7</v>
      </c>
      <c r="Y89" s="6"/>
      <c r="Z89" s="7"/>
      <c r="AA89" s="8"/>
      <c r="AB89" s="9"/>
      <c r="AD89" s="10"/>
      <c r="AE89" s="11"/>
      <c r="AF89" s="12"/>
      <c r="AG89" s="13"/>
      <c r="AI89" s="6">
        <v>1</v>
      </c>
      <c r="AJ89" s="7">
        <v>2</v>
      </c>
      <c r="AK89" s="8"/>
      <c r="AL89" s="9"/>
      <c r="AN89" s="10"/>
      <c r="AO89" s="11"/>
      <c r="AP89" s="12"/>
      <c r="AQ89" s="13"/>
      <c r="AS89" s="6"/>
      <c r="AT89" s="7"/>
      <c r="AU89" s="8"/>
      <c r="AV89" s="9"/>
      <c r="AX89" s="10"/>
      <c r="AY89" s="11"/>
      <c r="AZ89" s="12"/>
      <c r="BA89" s="13"/>
      <c r="BC89" s="6"/>
      <c r="BD89" s="7"/>
      <c r="BE89" s="8"/>
      <c r="BF89" s="9"/>
      <c r="BG89" s="4"/>
      <c r="BH89" s="46">
        <f t="shared" si="14"/>
        <v>10</v>
      </c>
      <c r="BI89" s="47">
        <f t="shared" si="15"/>
        <v>3</v>
      </c>
    </row>
    <row r="90" spans="1:61" x14ac:dyDescent="0.25">
      <c r="A90" s="42" t="s">
        <v>215</v>
      </c>
      <c r="B90" s="43">
        <v>2</v>
      </c>
      <c r="C90" s="42" t="s">
        <v>64</v>
      </c>
      <c r="D90" t="s">
        <v>52</v>
      </c>
      <c r="E90" s="6"/>
      <c r="F90" s="7"/>
      <c r="G90" s="8"/>
      <c r="H90" s="9"/>
      <c r="J90" s="10"/>
      <c r="K90" s="11"/>
      <c r="L90" s="12"/>
      <c r="M90" s="13"/>
      <c r="O90" s="6"/>
      <c r="P90" s="7"/>
      <c r="Q90" s="8"/>
      <c r="R90" s="9">
        <v>3</v>
      </c>
      <c r="T90" s="10"/>
      <c r="U90" s="11">
        <v>2</v>
      </c>
      <c r="V90" s="12"/>
      <c r="W90" s="13"/>
      <c r="Y90" s="6"/>
      <c r="Z90" s="7"/>
      <c r="AA90" s="8"/>
      <c r="AB90" s="9"/>
      <c r="AD90" s="10">
        <v>1</v>
      </c>
      <c r="AE90" s="11"/>
      <c r="AF90" s="12"/>
      <c r="AG90" s="13">
        <v>1</v>
      </c>
      <c r="AI90" s="6"/>
      <c r="AJ90" s="7"/>
      <c r="AK90" s="8"/>
      <c r="AL90" s="9"/>
      <c r="AN90" s="10"/>
      <c r="AO90" s="11"/>
      <c r="AP90" s="12"/>
      <c r="AQ90" s="13"/>
      <c r="AS90" s="6"/>
      <c r="AT90" s="7"/>
      <c r="AU90" s="8"/>
      <c r="AV90" s="9"/>
      <c r="AX90" s="10"/>
      <c r="AY90" s="11"/>
      <c r="AZ90" s="12"/>
      <c r="BA90" s="13"/>
      <c r="BC90" s="6"/>
      <c r="BD90" s="7"/>
      <c r="BE90" s="8"/>
      <c r="BF90" s="9"/>
      <c r="BG90" s="4"/>
      <c r="BH90" s="46">
        <f t="shared" si="14"/>
        <v>7</v>
      </c>
      <c r="BI90" s="47">
        <f t="shared" si="15"/>
        <v>2.1</v>
      </c>
    </row>
    <row r="91" spans="1:61" x14ac:dyDescent="0.25">
      <c r="A91" s="42" t="s">
        <v>214</v>
      </c>
      <c r="B91" s="43">
        <v>2</v>
      </c>
      <c r="C91" s="42" t="s">
        <v>64</v>
      </c>
      <c r="D91" t="s">
        <v>52</v>
      </c>
      <c r="E91" s="6"/>
      <c r="F91" s="7"/>
      <c r="G91" s="8"/>
      <c r="H91" s="9"/>
      <c r="J91" s="10"/>
      <c r="K91" s="11"/>
      <c r="L91" s="12"/>
      <c r="M91" s="13"/>
      <c r="O91" s="6"/>
      <c r="P91" s="7"/>
      <c r="Q91" s="8"/>
      <c r="R91" s="9"/>
      <c r="T91" s="10"/>
      <c r="U91" s="11"/>
      <c r="V91" s="12"/>
      <c r="W91" s="13"/>
      <c r="Y91" s="6"/>
      <c r="Z91" s="7"/>
      <c r="AA91" s="8"/>
      <c r="AB91" s="9"/>
      <c r="AD91" s="10"/>
      <c r="AE91" s="11"/>
      <c r="AF91" s="12"/>
      <c r="AG91" s="13"/>
      <c r="AI91" s="6"/>
      <c r="AJ91" s="7"/>
      <c r="AK91" s="8"/>
      <c r="AL91" s="9"/>
      <c r="AN91" s="10"/>
      <c r="AO91" s="11"/>
      <c r="AP91" s="12"/>
      <c r="AQ91" s="13"/>
      <c r="AS91" s="6"/>
      <c r="AT91" s="7"/>
      <c r="AU91" s="8"/>
      <c r="AV91" s="9"/>
      <c r="AX91" s="10"/>
      <c r="AY91" s="11"/>
      <c r="AZ91" s="12"/>
      <c r="BA91" s="13"/>
      <c r="BC91" s="6"/>
      <c r="BD91" s="7"/>
      <c r="BE91" s="8"/>
      <c r="BF91" s="9"/>
      <c r="BG91" s="4"/>
      <c r="BH91" s="46">
        <f t="shared" si="14"/>
        <v>0</v>
      </c>
      <c r="BI91" s="47">
        <f t="shared" si="15"/>
        <v>0</v>
      </c>
    </row>
    <row r="92" spans="1:61" x14ac:dyDescent="0.25">
      <c r="A92" s="42" t="s">
        <v>213</v>
      </c>
      <c r="B92" s="43">
        <v>2</v>
      </c>
      <c r="C92" s="42" t="s">
        <v>64</v>
      </c>
      <c r="D92" t="s">
        <v>52</v>
      </c>
      <c r="E92" s="6"/>
      <c r="F92" s="7"/>
      <c r="G92" s="8"/>
      <c r="H92" s="9"/>
      <c r="J92" s="10"/>
      <c r="K92" s="11"/>
      <c r="L92" s="12"/>
      <c r="M92" s="13"/>
      <c r="O92" s="6"/>
      <c r="P92" s="7"/>
      <c r="Q92" s="8"/>
      <c r="R92" s="9"/>
      <c r="T92" s="10"/>
      <c r="U92" s="11"/>
      <c r="V92" s="12"/>
      <c r="W92" s="13"/>
      <c r="Y92" s="6"/>
      <c r="Z92" s="7"/>
      <c r="AA92" s="8"/>
      <c r="AB92" s="9"/>
      <c r="AD92" s="10">
        <v>1</v>
      </c>
      <c r="AE92" s="11"/>
      <c r="AF92" s="12"/>
      <c r="AG92" s="13">
        <v>1</v>
      </c>
      <c r="AI92" s="6"/>
      <c r="AJ92" s="7"/>
      <c r="AK92" s="8"/>
      <c r="AL92" s="9"/>
      <c r="AN92" s="10"/>
      <c r="AO92" s="11"/>
      <c r="AP92" s="12"/>
      <c r="AQ92" s="13"/>
      <c r="AS92" s="6"/>
      <c r="AT92" s="7"/>
      <c r="AU92" s="8"/>
      <c r="AV92" s="9"/>
      <c r="AX92" s="10"/>
      <c r="AY92" s="11"/>
      <c r="AZ92" s="12"/>
      <c r="BA92" s="13"/>
      <c r="BC92" s="6"/>
      <c r="BD92" s="7"/>
      <c r="BE92" s="8"/>
      <c r="BF92" s="9"/>
      <c r="BG92" s="4"/>
      <c r="BH92" s="46">
        <f t="shared" si="14"/>
        <v>2</v>
      </c>
      <c r="BI92" s="47">
        <f t="shared" si="15"/>
        <v>0.6</v>
      </c>
    </row>
    <row r="93" spans="1:61" x14ac:dyDescent="0.25">
      <c r="A93" s="42" t="s">
        <v>212</v>
      </c>
      <c r="B93" s="43">
        <v>2</v>
      </c>
      <c r="C93" s="42" t="s">
        <v>64</v>
      </c>
      <c r="D93" t="s">
        <v>52</v>
      </c>
      <c r="E93" s="6">
        <v>3</v>
      </c>
      <c r="F93" s="7"/>
      <c r="G93" s="8"/>
      <c r="H93" s="9"/>
      <c r="J93" s="10"/>
      <c r="K93" s="11"/>
      <c r="L93" s="12"/>
      <c r="M93" s="13"/>
      <c r="O93" s="6"/>
      <c r="P93" s="7"/>
      <c r="Q93" s="8"/>
      <c r="R93" s="9">
        <v>7</v>
      </c>
      <c r="T93" s="10"/>
      <c r="U93" s="11">
        <v>4</v>
      </c>
      <c r="V93" s="12"/>
      <c r="W93" s="13">
        <v>9</v>
      </c>
      <c r="Y93" s="6">
        <v>4</v>
      </c>
      <c r="Z93" s="7"/>
      <c r="AA93" s="8"/>
      <c r="AB93" s="9">
        <v>4</v>
      </c>
      <c r="AD93" s="10"/>
      <c r="AE93" s="11"/>
      <c r="AF93" s="12"/>
      <c r="AG93" s="13"/>
      <c r="AI93" s="6">
        <v>4</v>
      </c>
      <c r="AJ93" s="7"/>
      <c r="AK93" s="8"/>
      <c r="AL93" s="9"/>
      <c r="AN93" s="10"/>
      <c r="AO93" s="11"/>
      <c r="AP93" s="12"/>
      <c r="AQ93" s="13"/>
      <c r="AS93" s="6"/>
      <c r="AT93" s="7"/>
      <c r="AU93" s="8"/>
      <c r="AV93" s="9"/>
      <c r="AX93" s="10"/>
      <c r="AY93" s="11"/>
      <c r="AZ93" s="12"/>
      <c r="BA93" s="13"/>
      <c r="BC93" s="6"/>
      <c r="BD93" s="7"/>
      <c r="BE93" s="8"/>
      <c r="BF93" s="9"/>
      <c r="BG93" s="4"/>
      <c r="BH93" s="46">
        <f t="shared" si="14"/>
        <v>35</v>
      </c>
      <c r="BI93" s="47">
        <f t="shared" si="15"/>
        <v>10.5</v>
      </c>
    </row>
    <row r="94" spans="1:61" x14ac:dyDescent="0.25">
      <c r="A94" s="42" t="s">
        <v>211</v>
      </c>
      <c r="B94" s="43">
        <v>10</v>
      </c>
      <c r="C94" s="42" t="s">
        <v>64</v>
      </c>
      <c r="D94" t="s">
        <v>59</v>
      </c>
      <c r="E94" s="6"/>
      <c r="F94" s="7"/>
      <c r="G94" s="8"/>
      <c r="H94" s="9"/>
      <c r="J94" s="10"/>
      <c r="K94" s="11"/>
      <c r="L94" s="12"/>
      <c r="M94" s="13"/>
      <c r="O94" s="6"/>
      <c r="P94" s="7"/>
      <c r="Q94" s="8"/>
      <c r="R94" s="9">
        <v>1</v>
      </c>
      <c r="T94" s="10"/>
      <c r="U94" s="11"/>
      <c r="V94" s="12"/>
      <c r="W94" s="13"/>
      <c r="Y94" s="6"/>
      <c r="Z94" s="7"/>
      <c r="AA94" s="8"/>
      <c r="AB94" s="9">
        <v>1</v>
      </c>
      <c r="AD94" s="10"/>
      <c r="AE94" s="11"/>
      <c r="AF94" s="12"/>
      <c r="AG94" s="13"/>
      <c r="AI94" s="6"/>
      <c r="AJ94" s="7"/>
      <c r="AK94" s="8"/>
      <c r="AL94" s="9"/>
      <c r="AN94" s="10"/>
      <c r="AO94" s="11"/>
      <c r="AP94" s="12"/>
      <c r="AQ94" s="13"/>
      <c r="AS94" s="6"/>
      <c r="AT94" s="7"/>
      <c r="AU94" s="8"/>
      <c r="AV94" s="9"/>
      <c r="AX94" s="10"/>
      <c r="AY94" s="11"/>
      <c r="AZ94" s="12"/>
      <c r="BA94" s="13"/>
      <c r="BC94" s="6"/>
      <c r="BD94" s="7"/>
      <c r="BE94" s="8"/>
      <c r="BF94" s="9"/>
      <c r="BG94" s="4"/>
      <c r="BH94" s="46">
        <f t="shared" si="14"/>
        <v>2</v>
      </c>
      <c r="BI94" s="47">
        <f t="shared" si="15"/>
        <v>0.6</v>
      </c>
    </row>
    <row r="95" spans="1:61" x14ac:dyDescent="0.25">
      <c r="A95" s="42" t="s">
        <v>210</v>
      </c>
      <c r="B95" s="43">
        <v>10</v>
      </c>
      <c r="C95" s="42" t="s">
        <v>64</v>
      </c>
      <c r="D95" t="s">
        <v>59</v>
      </c>
      <c r="E95" s="6"/>
      <c r="F95" s="7"/>
      <c r="G95" s="8"/>
      <c r="H95" s="9"/>
      <c r="J95" s="10"/>
      <c r="K95" s="11"/>
      <c r="L95" s="12"/>
      <c r="M95" s="13"/>
      <c r="O95" s="6"/>
      <c r="P95" s="7"/>
      <c r="Q95" s="8"/>
      <c r="R95" s="9">
        <v>2</v>
      </c>
      <c r="T95" s="10"/>
      <c r="U95" s="11"/>
      <c r="V95" s="12"/>
      <c r="W95" s="13"/>
      <c r="Y95" s="6"/>
      <c r="Z95" s="7"/>
      <c r="AA95" s="8"/>
      <c r="AB95" s="9">
        <v>1</v>
      </c>
      <c r="AD95" s="10"/>
      <c r="AE95" s="11"/>
      <c r="AF95" s="12"/>
      <c r="AG95" s="13"/>
      <c r="AI95" s="6"/>
      <c r="AJ95" s="7"/>
      <c r="AK95" s="8"/>
      <c r="AL95" s="9"/>
      <c r="AN95" s="10"/>
      <c r="AO95" s="11"/>
      <c r="AP95" s="12"/>
      <c r="AQ95" s="13"/>
      <c r="AS95" s="6"/>
      <c r="AT95" s="7"/>
      <c r="AU95" s="8"/>
      <c r="AV95" s="9"/>
      <c r="AX95" s="10"/>
      <c r="AY95" s="11"/>
      <c r="AZ95" s="12"/>
      <c r="BA95" s="13"/>
      <c r="BC95" s="6"/>
      <c r="BD95" s="7"/>
      <c r="BE95" s="8"/>
      <c r="BF95" s="9"/>
      <c r="BG95" s="4"/>
      <c r="BH95" s="46">
        <f t="shared" si="14"/>
        <v>3</v>
      </c>
      <c r="BI95" s="47">
        <f t="shared" si="15"/>
        <v>0.89999999999999991</v>
      </c>
    </row>
    <row r="96" spans="1:61" x14ac:dyDescent="0.25">
      <c r="A96" s="42" t="s">
        <v>363</v>
      </c>
      <c r="B96" s="43">
        <v>10</v>
      </c>
      <c r="C96" s="42" t="s">
        <v>64</v>
      </c>
      <c r="D96" t="s">
        <v>59</v>
      </c>
      <c r="E96" s="6"/>
      <c r="F96" s="7"/>
      <c r="G96" s="8"/>
      <c r="H96" s="9"/>
      <c r="J96" s="10"/>
      <c r="K96" s="11"/>
      <c r="L96" s="12"/>
      <c r="M96" s="13"/>
      <c r="O96" s="6"/>
      <c r="P96" s="7"/>
      <c r="Q96" s="8"/>
      <c r="R96" s="9">
        <v>1</v>
      </c>
      <c r="T96" s="10"/>
      <c r="U96" s="11"/>
      <c r="V96" s="12"/>
      <c r="W96" s="13"/>
      <c r="Y96" s="6"/>
      <c r="Z96" s="7"/>
      <c r="AA96" s="8"/>
      <c r="AB96" s="9"/>
      <c r="AD96" s="10"/>
      <c r="AE96" s="11"/>
      <c r="AF96" s="12"/>
      <c r="AG96" s="13"/>
      <c r="AI96" s="6"/>
      <c r="AJ96" s="7"/>
      <c r="AK96" s="8"/>
      <c r="AL96" s="9"/>
      <c r="AN96" s="10"/>
      <c r="AO96" s="11"/>
      <c r="AP96" s="12"/>
      <c r="AQ96" s="13"/>
      <c r="AS96" s="6"/>
      <c r="AT96" s="7"/>
      <c r="AU96" s="8"/>
      <c r="AV96" s="9"/>
      <c r="AX96" s="10"/>
      <c r="AY96" s="11"/>
      <c r="AZ96" s="12"/>
      <c r="BA96" s="13"/>
      <c r="BC96" s="6"/>
      <c r="BD96" s="7"/>
      <c r="BE96" s="8"/>
      <c r="BF96" s="9"/>
      <c r="BG96" s="4"/>
      <c r="BH96" s="46">
        <f t="shared" si="14"/>
        <v>1</v>
      </c>
      <c r="BI96" s="47">
        <f t="shared" si="15"/>
        <v>0.3</v>
      </c>
    </row>
    <row r="97" spans="1:61" x14ac:dyDescent="0.25">
      <c r="A97" s="42" t="s">
        <v>208</v>
      </c>
      <c r="B97" s="43">
        <v>10</v>
      </c>
      <c r="C97" s="42" t="s">
        <v>64</v>
      </c>
      <c r="D97" t="s">
        <v>59</v>
      </c>
      <c r="E97" s="6"/>
      <c r="F97" s="7"/>
      <c r="G97" s="8"/>
      <c r="H97" s="9"/>
      <c r="J97" s="10"/>
      <c r="K97" s="11"/>
      <c r="L97" s="12"/>
      <c r="M97" s="13"/>
      <c r="O97" s="6"/>
      <c r="P97" s="7"/>
      <c r="Q97" s="8"/>
      <c r="R97" s="9">
        <v>2</v>
      </c>
      <c r="T97" s="10"/>
      <c r="U97" s="11"/>
      <c r="V97" s="12"/>
      <c r="W97" s="13"/>
      <c r="Y97" s="6"/>
      <c r="Z97" s="7"/>
      <c r="AA97" s="8"/>
      <c r="AB97" s="9"/>
      <c r="AD97" s="10"/>
      <c r="AE97" s="11"/>
      <c r="AF97" s="12"/>
      <c r="AG97" s="13"/>
      <c r="AI97" s="6"/>
      <c r="AJ97" s="7"/>
      <c r="AK97" s="8"/>
      <c r="AL97" s="9"/>
      <c r="AN97" s="10"/>
      <c r="AO97" s="11"/>
      <c r="AP97" s="12"/>
      <c r="AQ97" s="13"/>
      <c r="AS97" s="6"/>
      <c r="AT97" s="7"/>
      <c r="AU97" s="8"/>
      <c r="AV97" s="9"/>
      <c r="AX97" s="10"/>
      <c r="AY97" s="11"/>
      <c r="AZ97" s="12"/>
      <c r="BA97" s="13"/>
      <c r="BC97" s="6"/>
      <c r="BD97" s="7"/>
      <c r="BE97" s="8"/>
      <c r="BF97" s="9"/>
      <c r="BG97" s="4"/>
      <c r="BH97" s="46">
        <f t="shared" si="14"/>
        <v>2</v>
      </c>
      <c r="BI97" s="47">
        <f t="shared" si="15"/>
        <v>0.6</v>
      </c>
    </row>
    <row r="98" spans="1:61" x14ac:dyDescent="0.25">
      <c r="A98" s="42" t="s">
        <v>207</v>
      </c>
      <c r="B98" s="43">
        <v>3</v>
      </c>
      <c r="C98" s="42" t="s">
        <v>64</v>
      </c>
      <c r="D98" t="s">
        <v>56</v>
      </c>
      <c r="E98" s="6"/>
      <c r="F98" s="7"/>
      <c r="G98" s="8">
        <v>1</v>
      </c>
      <c r="H98" s="9"/>
      <c r="J98" s="10"/>
      <c r="K98" s="11"/>
      <c r="L98" s="12"/>
      <c r="M98" s="13"/>
      <c r="O98" s="6">
        <v>3</v>
      </c>
      <c r="P98" s="7">
        <v>2</v>
      </c>
      <c r="Q98" s="8">
        <v>3</v>
      </c>
      <c r="R98" s="9">
        <v>7</v>
      </c>
      <c r="T98" s="10"/>
      <c r="U98" s="11"/>
      <c r="V98" s="12"/>
      <c r="W98" s="13">
        <v>3</v>
      </c>
      <c r="Y98" s="6">
        <v>2</v>
      </c>
      <c r="Z98" s="7">
        <v>3</v>
      </c>
      <c r="AA98" s="8"/>
      <c r="AB98" s="9"/>
      <c r="AD98" s="10"/>
      <c r="AE98" s="11"/>
      <c r="AF98" s="12"/>
      <c r="AG98" s="13"/>
      <c r="AI98" s="6">
        <v>1</v>
      </c>
      <c r="AJ98" s="7">
        <v>2</v>
      </c>
      <c r="AK98" s="8"/>
      <c r="AL98" s="9"/>
      <c r="AN98" s="10"/>
      <c r="AO98" s="11"/>
      <c r="AP98" s="12"/>
      <c r="AQ98" s="13"/>
      <c r="AS98" s="6"/>
      <c r="AT98" s="7"/>
      <c r="AU98" s="8"/>
      <c r="AV98" s="9"/>
      <c r="AX98" s="10"/>
      <c r="AY98" s="11"/>
      <c r="AZ98" s="12"/>
      <c r="BA98" s="13"/>
      <c r="BC98" s="6"/>
      <c r="BD98" s="7"/>
      <c r="BE98" s="8"/>
      <c r="BF98" s="9"/>
      <c r="BG98" s="4"/>
      <c r="BH98" s="46">
        <f t="shared" ref="BH98:BH99" si="16">SUM(E98:BF98)</f>
        <v>27</v>
      </c>
      <c r="BI98" s="47">
        <f t="shared" ref="BI98:BI99" si="17">(SUM(E98:BG98)*$D$2)</f>
        <v>8.1</v>
      </c>
    </row>
    <row r="99" spans="1:61" x14ac:dyDescent="0.25">
      <c r="A99" s="42" t="s">
        <v>364</v>
      </c>
      <c r="B99" s="43">
        <v>3</v>
      </c>
      <c r="C99" s="42" t="s">
        <v>64</v>
      </c>
      <c r="D99" t="s">
        <v>56</v>
      </c>
      <c r="E99" s="6"/>
      <c r="F99" s="7"/>
      <c r="G99" s="8"/>
      <c r="H99" s="9"/>
      <c r="J99" s="10"/>
      <c r="K99" s="11"/>
      <c r="L99" s="12"/>
      <c r="M99" s="13"/>
      <c r="O99" s="6"/>
      <c r="P99" s="7"/>
      <c r="Q99" s="8"/>
      <c r="R99" s="9">
        <v>5</v>
      </c>
      <c r="T99" s="10"/>
      <c r="U99" s="11"/>
      <c r="V99" s="12"/>
      <c r="W99" s="13"/>
      <c r="Y99" s="6"/>
      <c r="Z99" s="7"/>
      <c r="AA99" s="8"/>
      <c r="AB99" s="9"/>
      <c r="AD99" s="10"/>
      <c r="AE99" s="11"/>
      <c r="AF99" s="12"/>
      <c r="AG99" s="13"/>
      <c r="AI99" s="6"/>
      <c r="AJ99" s="7"/>
      <c r="AK99" s="8"/>
      <c r="AL99" s="9"/>
      <c r="AN99" s="10"/>
      <c r="AO99" s="11"/>
      <c r="AP99" s="12"/>
      <c r="AQ99" s="13"/>
      <c r="AS99" s="6"/>
      <c r="AT99" s="7"/>
      <c r="AU99" s="8"/>
      <c r="AV99" s="9"/>
      <c r="AX99" s="10"/>
      <c r="AY99" s="11"/>
      <c r="AZ99" s="12"/>
      <c r="BA99" s="13"/>
      <c r="BC99" s="6"/>
      <c r="BD99" s="7"/>
      <c r="BE99" s="8"/>
      <c r="BF99" s="9"/>
      <c r="BG99" s="4"/>
      <c r="BH99" s="46">
        <f t="shared" si="16"/>
        <v>5</v>
      </c>
      <c r="BI99" s="47">
        <f t="shared" si="17"/>
        <v>1.5</v>
      </c>
    </row>
    <row r="100" spans="1:61" x14ac:dyDescent="0.25">
      <c r="A100" s="42" t="s">
        <v>206</v>
      </c>
      <c r="B100" s="43">
        <v>3</v>
      </c>
      <c r="C100" s="42" t="s">
        <v>64</v>
      </c>
      <c r="D100" t="s">
        <v>56</v>
      </c>
      <c r="E100" s="6">
        <v>3</v>
      </c>
      <c r="F100" s="7">
        <v>4</v>
      </c>
      <c r="G100" s="8">
        <v>3</v>
      </c>
      <c r="H100" s="9">
        <v>5</v>
      </c>
      <c r="J100" s="10"/>
      <c r="K100" s="11"/>
      <c r="L100" s="12">
        <v>4</v>
      </c>
      <c r="M100" s="13">
        <v>5</v>
      </c>
      <c r="O100" s="6">
        <v>5</v>
      </c>
      <c r="P100" s="7">
        <v>2</v>
      </c>
      <c r="Q100" s="8">
        <v>3</v>
      </c>
      <c r="R100" s="9">
        <v>9</v>
      </c>
      <c r="T100" s="10"/>
      <c r="U100" s="11"/>
      <c r="V100" s="12"/>
      <c r="W100" s="13">
        <v>7</v>
      </c>
      <c r="Y100" s="6">
        <v>5</v>
      </c>
      <c r="Z100" s="7"/>
      <c r="AA100" s="8"/>
      <c r="AB100" s="9"/>
      <c r="AD100" s="10"/>
      <c r="AE100" s="11"/>
      <c r="AF100" s="12"/>
      <c r="AG100" s="13"/>
      <c r="AI100" s="6">
        <v>4</v>
      </c>
      <c r="AJ100" s="7">
        <v>5</v>
      </c>
      <c r="AK100" s="8"/>
      <c r="AL100" s="9"/>
      <c r="AN100" s="10"/>
      <c r="AO100" s="11"/>
      <c r="AP100" s="12"/>
      <c r="AQ100" s="13"/>
      <c r="AS100" s="6"/>
      <c r="AT100" s="7"/>
      <c r="AU100" s="8"/>
      <c r="AV100" s="9"/>
      <c r="AX100" s="10"/>
      <c r="AY100" s="11"/>
      <c r="AZ100" s="12"/>
      <c r="BA100" s="13"/>
      <c r="BC100" s="6"/>
      <c r="BD100" s="7"/>
      <c r="BE100" s="8"/>
      <c r="BF100" s="9"/>
      <c r="BG100" s="4"/>
      <c r="BH100" s="46">
        <f t="shared" si="14"/>
        <v>64</v>
      </c>
      <c r="BI100" s="47">
        <f t="shared" si="15"/>
        <v>19.2</v>
      </c>
    </row>
    <row r="101" spans="1:61" x14ac:dyDescent="0.25">
      <c r="A101" s="42" t="s">
        <v>205</v>
      </c>
      <c r="B101" s="43">
        <v>3</v>
      </c>
      <c r="C101" s="42" t="s">
        <v>64</v>
      </c>
      <c r="D101" t="s">
        <v>56</v>
      </c>
      <c r="E101" s="6"/>
      <c r="F101" s="7">
        <v>1</v>
      </c>
      <c r="G101" s="8">
        <v>3</v>
      </c>
      <c r="H101" s="9">
        <v>8</v>
      </c>
      <c r="J101" s="10"/>
      <c r="K101" s="11"/>
      <c r="L101" s="12">
        <v>2</v>
      </c>
      <c r="M101" s="13">
        <v>5</v>
      </c>
      <c r="O101" s="6">
        <v>8</v>
      </c>
      <c r="P101" s="7">
        <v>7</v>
      </c>
      <c r="Q101" s="8">
        <v>7</v>
      </c>
      <c r="R101" s="9">
        <v>9</v>
      </c>
      <c r="T101" s="10"/>
      <c r="U101" s="11">
        <v>8</v>
      </c>
      <c r="V101" s="12"/>
      <c r="W101" s="13">
        <v>10</v>
      </c>
      <c r="Y101" s="6">
        <v>5</v>
      </c>
      <c r="Z101" s="7">
        <v>5</v>
      </c>
      <c r="AA101" s="8">
        <v>4</v>
      </c>
      <c r="AB101" s="9">
        <v>11</v>
      </c>
      <c r="AD101" s="10"/>
      <c r="AE101" s="11"/>
      <c r="AF101" s="12">
        <v>7</v>
      </c>
      <c r="AG101" s="13">
        <v>5</v>
      </c>
      <c r="AI101" s="6">
        <v>2</v>
      </c>
      <c r="AJ101" s="7">
        <v>6</v>
      </c>
      <c r="AK101" s="8"/>
      <c r="AL101" s="9"/>
      <c r="AN101" s="10"/>
      <c r="AO101" s="11"/>
      <c r="AP101" s="12"/>
      <c r="AQ101" s="13"/>
      <c r="AS101" s="6"/>
      <c r="AT101" s="7"/>
      <c r="AU101" s="8"/>
      <c r="AV101" s="9"/>
      <c r="AX101" s="10"/>
      <c r="AY101" s="11"/>
      <c r="AZ101" s="12"/>
      <c r="BA101" s="13"/>
      <c r="BC101" s="6"/>
      <c r="BD101" s="7"/>
      <c r="BE101" s="8"/>
      <c r="BF101" s="9"/>
      <c r="BG101" s="4"/>
      <c r="BH101" s="46">
        <f t="shared" si="14"/>
        <v>113</v>
      </c>
      <c r="BI101" s="47">
        <f t="shared" si="15"/>
        <v>33.9</v>
      </c>
    </row>
    <row r="102" spans="1:61" x14ac:dyDescent="0.25">
      <c r="A102" s="42" t="s">
        <v>204</v>
      </c>
      <c r="B102" s="43">
        <v>3</v>
      </c>
      <c r="C102" s="42" t="s">
        <v>64</v>
      </c>
      <c r="D102" t="s">
        <v>56</v>
      </c>
      <c r="E102" s="6"/>
      <c r="F102" s="7"/>
      <c r="G102" s="8"/>
      <c r="H102" s="9"/>
      <c r="J102" s="10"/>
      <c r="K102" s="11"/>
      <c r="L102" s="12"/>
      <c r="M102" s="13"/>
      <c r="O102" s="6"/>
      <c r="P102" s="7"/>
      <c r="Q102" s="8">
        <v>2</v>
      </c>
      <c r="R102" s="9">
        <v>5</v>
      </c>
      <c r="T102" s="10"/>
      <c r="U102" s="11">
        <v>3</v>
      </c>
      <c r="V102" s="12"/>
      <c r="W102" s="13">
        <v>6</v>
      </c>
      <c r="Y102" s="6">
        <v>1</v>
      </c>
      <c r="Z102" s="7">
        <v>3</v>
      </c>
      <c r="AA102" s="8">
        <v>3</v>
      </c>
      <c r="AB102" s="9">
        <v>5</v>
      </c>
      <c r="AD102" s="10">
        <v>3</v>
      </c>
      <c r="AE102" s="11"/>
      <c r="AF102" s="12">
        <v>3</v>
      </c>
      <c r="AG102" s="13">
        <v>5</v>
      </c>
      <c r="AI102" s="6">
        <v>2</v>
      </c>
      <c r="AJ102" s="7">
        <v>1</v>
      </c>
      <c r="AK102" s="8"/>
      <c r="AL102" s="9"/>
      <c r="AN102" s="10"/>
      <c r="AO102" s="11"/>
      <c r="AP102" s="12"/>
      <c r="AQ102" s="13"/>
      <c r="AS102" s="6"/>
      <c r="AT102" s="7"/>
      <c r="AU102" s="8"/>
      <c r="AV102" s="9"/>
      <c r="AX102" s="10"/>
      <c r="AY102" s="11"/>
      <c r="AZ102" s="12"/>
      <c r="BA102" s="13"/>
      <c r="BC102" s="6"/>
      <c r="BD102" s="7"/>
      <c r="BE102" s="8"/>
      <c r="BF102" s="9"/>
      <c r="BG102" s="4"/>
      <c r="BH102" s="46">
        <f t="shared" ref="BH102:BH103" si="18">SUM(E102:BF102)</f>
        <v>42</v>
      </c>
      <c r="BI102" s="47">
        <f t="shared" ref="BI102:BI103" si="19">(SUM(E102:BG102)*$D$2)</f>
        <v>12.6</v>
      </c>
    </row>
    <row r="103" spans="1:61" x14ac:dyDescent="0.25">
      <c r="A103" s="42" t="s">
        <v>347</v>
      </c>
      <c r="B103" s="43">
        <v>3</v>
      </c>
      <c r="C103" s="42" t="s">
        <v>64</v>
      </c>
      <c r="D103" t="s">
        <v>56</v>
      </c>
      <c r="E103" s="6"/>
      <c r="F103" s="7">
        <v>3</v>
      </c>
      <c r="G103" s="8">
        <v>4</v>
      </c>
      <c r="H103" s="9"/>
      <c r="J103" s="10"/>
      <c r="K103" s="11"/>
      <c r="L103" s="12">
        <v>4</v>
      </c>
      <c r="M103" s="13">
        <v>4</v>
      </c>
      <c r="O103" s="6">
        <v>4</v>
      </c>
      <c r="P103" s="7">
        <v>4</v>
      </c>
      <c r="Q103" s="8">
        <v>3</v>
      </c>
      <c r="R103" s="9">
        <v>3</v>
      </c>
      <c r="T103" s="10"/>
      <c r="U103" s="11">
        <v>3</v>
      </c>
      <c r="V103" s="12"/>
      <c r="W103" s="13">
        <v>6</v>
      </c>
      <c r="Y103" s="6"/>
      <c r="Z103" s="7"/>
      <c r="AA103" s="8"/>
      <c r="AB103" s="9"/>
      <c r="AD103" s="10"/>
      <c r="AE103" s="11"/>
      <c r="AF103" s="12"/>
      <c r="AG103" s="13"/>
      <c r="AI103" s="6">
        <v>4</v>
      </c>
      <c r="AJ103" s="7"/>
      <c r="AK103" s="8"/>
      <c r="AL103" s="9"/>
      <c r="AN103" s="10"/>
      <c r="AO103" s="11"/>
      <c r="AP103" s="12"/>
      <c r="AQ103" s="13"/>
      <c r="AS103" s="6"/>
      <c r="AT103" s="7"/>
      <c r="AU103" s="8"/>
      <c r="AV103" s="9"/>
      <c r="AX103" s="10"/>
      <c r="AY103" s="11"/>
      <c r="AZ103" s="12"/>
      <c r="BA103" s="13"/>
      <c r="BC103" s="6"/>
      <c r="BD103" s="7"/>
      <c r="BE103" s="8"/>
      <c r="BF103" s="9"/>
      <c r="BG103" s="4"/>
      <c r="BH103" s="46">
        <f t="shared" si="18"/>
        <v>42</v>
      </c>
      <c r="BI103" s="47">
        <f t="shared" si="19"/>
        <v>12.6</v>
      </c>
    </row>
    <row r="104" spans="1:61" x14ac:dyDescent="0.25">
      <c r="A104" s="42" t="s">
        <v>348</v>
      </c>
      <c r="B104" s="43">
        <v>3</v>
      </c>
      <c r="C104" s="42" t="s">
        <v>64</v>
      </c>
      <c r="D104" t="s">
        <v>56</v>
      </c>
      <c r="E104" s="6"/>
      <c r="F104" s="7">
        <v>2</v>
      </c>
      <c r="G104" s="8"/>
      <c r="H104" s="9"/>
      <c r="J104" s="10"/>
      <c r="K104" s="11"/>
      <c r="L104" s="12"/>
      <c r="M104" s="13"/>
      <c r="O104" s="6"/>
      <c r="P104" s="7"/>
      <c r="Q104" s="8"/>
      <c r="R104" s="9">
        <v>4</v>
      </c>
      <c r="T104" s="10"/>
      <c r="U104" s="11">
        <v>4</v>
      </c>
      <c r="V104" s="12"/>
      <c r="W104" s="13"/>
      <c r="Y104" s="6"/>
      <c r="Z104" s="7"/>
      <c r="AA104" s="8"/>
      <c r="AB104" s="9"/>
      <c r="AD104" s="10"/>
      <c r="AE104" s="11"/>
      <c r="AF104" s="12"/>
      <c r="AG104" s="13"/>
      <c r="AI104" s="6"/>
      <c r="AJ104" s="7"/>
      <c r="AK104" s="8"/>
      <c r="AL104" s="9"/>
      <c r="AN104" s="10"/>
      <c r="AO104" s="11"/>
      <c r="AP104" s="12"/>
      <c r="AQ104" s="13"/>
      <c r="AS104" s="6"/>
      <c r="AT104" s="7"/>
      <c r="AU104" s="8"/>
      <c r="AV104" s="9"/>
      <c r="AX104" s="10"/>
      <c r="AY104" s="11"/>
      <c r="AZ104" s="12"/>
      <c r="BA104" s="13"/>
      <c r="BC104" s="6"/>
      <c r="BD104" s="7"/>
      <c r="BE104" s="8"/>
      <c r="BF104" s="9"/>
      <c r="BG104" s="4"/>
      <c r="BH104" s="46">
        <f t="shared" si="14"/>
        <v>10</v>
      </c>
      <c r="BI104" s="47">
        <f t="shared" si="15"/>
        <v>3</v>
      </c>
    </row>
    <row r="105" spans="1:61" x14ac:dyDescent="0.25">
      <c r="A105" s="42" t="s">
        <v>203</v>
      </c>
      <c r="B105" s="43">
        <v>5</v>
      </c>
      <c r="C105" s="42" t="s">
        <v>64</v>
      </c>
      <c r="D105" t="s">
        <v>58</v>
      </c>
      <c r="E105" s="6"/>
      <c r="F105" s="7"/>
      <c r="G105" s="8"/>
      <c r="H105" s="9"/>
      <c r="J105" s="10"/>
      <c r="K105" s="11"/>
      <c r="L105" s="12"/>
      <c r="M105" s="13"/>
      <c r="O105" s="6"/>
      <c r="P105" s="7"/>
      <c r="Q105" s="8"/>
      <c r="R105" s="9"/>
      <c r="T105" s="10"/>
      <c r="U105" s="11"/>
      <c r="V105" s="12"/>
      <c r="W105" s="13"/>
      <c r="Y105" s="6"/>
      <c r="Z105" s="7"/>
      <c r="AA105" s="8"/>
      <c r="AB105" s="9"/>
      <c r="AD105" s="10"/>
      <c r="AE105" s="11"/>
      <c r="AF105" s="12"/>
      <c r="AG105" s="13"/>
      <c r="AI105" s="6"/>
      <c r="AJ105" s="7"/>
      <c r="AK105" s="8"/>
      <c r="AL105" s="9"/>
      <c r="AN105" s="10"/>
      <c r="AO105" s="11"/>
      <c r="AP105" s="12"/>
      <c r="AQ105" s="13"/>
      <c r="AS105" s="6"/>
      <c r="AT105" s="7"/>
      <c r="AU105" s="8"/>
      <c r="AV105" s="9"/>
      <c r="AX105" s="10"/>
      <c r="AY105" s="11"/>
      <c r="AZ105" s="12"/>
      <c r="BA105" s="13"/>
      <c r="BC105" s="6"/>
      <c r="BD105" s="7"/>
      <c r="BE105" s="8"/>
      <c r="BF105" s="9"/>
      <c r="BG105" s="4"/>
      <c r="BH105" s="46">
        <f t="shared" si="14"/>
        <v>0</v>
      </c>
      <c r="BI105" s="47">
        <f t="shared" si="15"/>
        <v>0</v>
      </c>
    </row>
    <row r="106" spans="1:61" x14ac:dyDescent="0.25">
      <c r="A106" s="42" t="s">
        <v>365</v>
      </c>
      <c r="B106" s="43">
        <v>5</v>
      </c>
      <c r="C106" s="42" t="s">
        <v>64</v>
      </c>
      <c r="D106" t="s">
        <v>58</v>
      </c>
      <c r="E106" s="6"/>
      <c r="F106" s="7"/>
      <c r="G106" s="8">
        <v>4</v>
      </c>
      <c r="H106" s="9"/>
      <c r="J106" s="10"/>
      <c r="K106" s="11"/>
      <c r="L106" s="12">
        <v>4</v>
      </c>
      <c r="M106" s="13">
        <v>3</v>
      </c>
      <c r="O106" s="6">
        <v>3</v>
      </c>
      <c r="P106" s="7">
        <v>2</v>
      </c>
      <c r="Q106" s="8">
        <v>3</v>
      </c>
      <c r="R106" s="9">
        <v>2</v>
      </c>
      <c r="T106" s="10"/>
      <c r="U106" s="11">
        <v>1</v>
      </c>
      <c r="V106" s="12"/>
      <c r="W106" s="13">
        <v>2</v>
      </c>
      <c r="Y106" s="6"/>
      <c r="Z106" s="7">
        <v>1</v>
      </c>
      <c r="AA106" s="8"/>
      <c r="AB106" s="9">
        <v>6</v>
      </c>
      <c r="AD106" s="10"/>
      <c r="AE106" s="11"/>
      <c r="AF106" s="12"/>
      <c r="AG106" s="13">
        <v>11</v>
      </c>
      <c r="AI106" s="6"/>
      <c r="AJ106" s="7"/>
      <c r="AK106" s="8"/>
      <c r="AL106" s="9"/>
      <c r="AN106" s="10"/>
      <c r="AO106" s="11"/>
      <c r="AP106" s="12"/>
      <c r="AQ106" s="13"/>
      <c r="AS106" s="6"/>
      <c r="AT106" s="7"/>
      <c r="AU106" s="8"/>
      <c r="AV106" s="9"/>
      <c r="AX106" s="10"/>
      <c r="AY106" s="11"/>
      <c r="AZ106" s="12"/>
      <c r="BA106" s="13"/>
      <c r="BC106" s="6"/>
      <c r="BD106" s="7"/>
      <c r="BE106" s="8"/>
      <c r="BF106" s="9"/>
      <c r="BG106" s="4"/>
      <c r="BH106" s="46">
        <f t="shared" si="14"/>
        <v>42</v>
      </c>
      <c r="BI106" s="47">
        <f t="shared" si="15"/>
        <v>12.6</v>
      </c>
    </row>
    <row r="107" spans="1:61" x14ac:dyDescent="0.25">
      <c r="A107" s="42" t="s">
        <v>202</v>
      </c>
      <c r="B107" s="43">
        <v>5</v>
      </c>
      <c r="C107" s="42" t="s">
        <v>64</v>
      </c>
      <c r="D107" t="s">
        <v>58</v>
      </c>
      <c r="E107" s="6"/>
      <c r="F107" s="7"/>
      <c r="G107" s="8">
        <v>4</v>
      </c>
      <c r="H107" s="9"/>
      <c r="J107" s="10"/>
      <c r="K107" s="11"/>
      <c r="L107" s="12"/>
      <c r="M107" s="13"/>
      <c r="O107" s="6"/>
      <c r="P107" s="7"/>
      <c r="Q107" s="8"/>
      <c r="R107" s="9"/>
      <c r="T107" s="10"/>
      <c r="U107" s="11"/>
      <c r="V107" s="12"/>
      <c r="W107" s="13">
        <v>6</v>
      </c>
      <c r="Y107" s="6"/>
      <c r="Z107" s="7"/>
      <c r="AA107" s="8">
        <v>4</v>
      </c>
      <c r="AB107" s="9">
        <v>5</v>
      </c>
      <c r="AD107" s="10"/>
      <c r="AE107" s="11"/>
      <c r="AF107" s="12"/>
      <c r="AG107" s="13">
        <v>5</v>
      </c>
      <c r="AI107" s="6"/>
      <c r="AJ107" s="7"/>
      <c r="AK107" s="8"/>
      <c r="AL107" s="9"/>
      <c r="AN107" s="10"/>
      <c r="AO107" s="11"/>
      <c r="AP107" s="12"/>
      <c r="AQ107" s="13"/>
      <c r="AS107" s="6"/>
      <c r="AT107" s="7"/>
      <c r="AU107" s="8"/>
      <c r="AV107" s="9"/>
      <c r="AX107" s="10"/>
      <c r="AY107" s="11"/>
      <c r="AZ107" s="12"/>
      <c r="BA107" s="13"/>
      <c r="BC107" s="6"/>
      <c r="BD107" s="7"/>
      <c r="BE107" s="8"/>
      <c r="BF107" s="9"/>
      <c r="BG107" s="4"/>
      <c r="BH107" s="46">
        <f t="shared" si="14"/>
        <v>24</v>
      </c>
      <c r="BI107" s="47">
        <f t="shared" si="15"/>
        <v>7.1999999999999993</v>
      </c>
    </row>
    <row r="108" spans="1:61" x14ac:dyDescent="0.25">
      <c r="A108" s="42" t="s">
        <v>201</v>
      </c>
      <c r="B108" s="43">
        <v>5</v>
      </c>
      <c r="C108" s="42" t="s">
        <v>64</v>
      </c>
      <c r="D108" t="s">
        <v>58</v>
      </c>
      <c r="E108" s="6"/>
      <c r="F108" s="7"/>
      <c r="G108" s="8">
        <v>3</v>
      </c>
      <c r="H108" s="9">
        <v>4</v>
      </c>
      <c r="J108" s="10"/>
      <c r="K108" s="11"/>
      <c r="L108" s="12">
        <v>5</v>
      </c>
      <c r="M108" s="13">
        <v>5</v>
      </c>
      <c r="O108" s="6">
        <v>3</v>
      </c>
      <c r="P108" s="7">
        <v>2</v>
      </c>
      <c r="Q108" s="8">
        <v>4</v>
      </c>
      <c r="R108" s="9">
        <v>7</v>
      </c>
      <c r="T108" s="10"/>
      <c r="U108" s="11"/>
      <c r="V108" s="12"/>
      <c r="W108" s="13">
        <v>5</v>
      </c>
      <c r="Y108" s="6"/>
      <c r="Z108" s="7"/>
      <c r="AA108" s="8">
        <v>4</v>
      </c>
      <c r="AB108" s="9">
        <v>5</v>
      </c>
      <c r="AD108" s="10">
        <v>4</v>
      </c>
      <c r="AE108" s="11"/>
      <c r="AF108" s="12"/>
      <c r="AG108" s="13"/>
      <c r="AI108" s="6"/>
      <c r="AJ108" s="7"/>
      <c r="AK108" s="8"/>
      <c r="AL108" s="9"/>
      <c r="AN108" s="10"/>
      <c r="AO108" s="11"/>
      <c r="AP108" s="12"/>
      <c r="AQ108" s="13"/>
      <c r="AS108" s="6"/>
      <c r="AT108" s="7"/>
      <c r="AU108" s="8"/>
      <c r="AV108" s="9"/>
      <c r="AX108" s="10"/>
      <c r="AY108" s="11"/>
      <c r="AZ108" s="12"/>
      <c r="BA108" s="13"/>
      <c r="BC108" s="6"/>
      <c r="BD108" s="7"/>
      <c r="BE108" s="8"/>
      <c r="BF108" s="9"/>
      <c r="BG108" s="4"/>
      <c r="BH108" s="46">
        <f t="shared" si="14"/>
        <v>51</v>
      </c>
      <c r="BI108" s="47">
        <f t="shared" si="15"/>
        <v>15.299999999999999</v>
      </c>
    </row>
    <row r="109" spans="1:61" x14ac:dyDescent="0.25">
      <c r="A109" s="42" t="s">
        <v>200</v>
      </c>
      <c r="B109" s="43">
        <v>5</v>
      </c>
      <c r="C109" s="42" t="s">
        <v>64</v>
      </c>
      <c r="D109" t="s">
        <v>58</v>
      </c>
      <c r="E109" s="6"/>
      <c r="F109" s="7"/>
      <c r="G109" s="8">
        <v>2</v>
      </c>
      <c r="H109" s="9"/>
      <c r="J109" s="10"/>
      <c r="K109" s="11"/>
      <c r="L109" s="12"/>
      <c r="M109" s="13"/>
      <c r="O109" s="6"/>
      <c r="P109" s="7">
        <v>4</v>
      </c>
      <c r="Q109" s="8"/>
      <c r="R109" s="9"/>
      <c r="T109" s="10"/>
      <c r="U109" s="11"/>
      <c r="V109" s="12"/>
      <c r="W109" s="13">
        <v>8</v>
      </c>
      <c r="Y109" s="6"/>
      <c r="Z109" s="7"/>
      <c r="AA109" s="8">
        <v>6</v>
      </c>
      <c r="AB109" s="9">
        <v>8</v>
      </c>
      <c r="AD109" s="10"/>
      <c r="AE109" s="11"/>
      <c r="AF109" s="12"/>
      <c r="AG109" s="13">
        <v>9</v>
      </c>
      <c r="AI109" s="6"/>
      <c r="AJ109" s="7"/>
      <c r="AK109" s="8"/>
      <c r="AL109" s="9"/>
      <c r="AN109" s="10"/>
      <c r="AO109" s="11"/>
      <c r="AP109" s="12"/>
      <c r="AQ109" s="13"/>
      <c r="AS109" s="6"/>
      <c r="AT109" s="7"/>
      <c r="AU109" s="8"/>
      <c r="AV109" s="9"/>
      <c r="AX109" s="10"/>
      <c r="AY109" s="11"/>
      <c r="AZ109" s="12"/>
      <c r="BA109" s="13"/>
      <c r="BC109" s="6"/>
      <c r="BD109" s="7"/>
      <c r="BE109" s="8"/>
      <c r="BF109" s="9"/>
      <c r="BG109" s="4"/>
      <c r="BH109" s="46">
        <f t="shared" si="14"/>
        <v>37</v>
      </c>
      <c r="BI109" s="47">
        <f t="shared" si="15"/>
        <v>11.1</v>
      </c>
    </row>
    <row r="110" spans="1:61" x14ac:dyDescent="0.25">
      <c r="A110" s="42" t="s">
        <v>366</v>
      </c>
      <c r="B110" s="43">
        <v>4</v>
      </c>
      <c r="C110" s="42" t="s">
        <v>64</v>
      </c>
      <c r="D110" t="s">
        <v>55</v>
      </c>
      <c r="E110" s="6"/>
      <c r="F110" s="7"/>
      <c r="G110" s="8"/>
      <c r="H110" s="9"/>
      <c r="J110" s="10"/>
      <c r="K110" s="11"/>
      <c r="L110" s="12"/>
      <c r="M110" s="13"/>
      <c r="O110" s="6"/>
      <c r="P110" s="7"/>
      <c r="Q110" s="8"/>
      <c r="R110" s="9">
        <v>3</v>
      </c>
      <c r="T110" s="10"/>
      <c r="U110" s="11"/>
      <c r="V110" s="12"/>
      <c r="W110" s="13"/>
      <c r="Y110" s="6"/>
      <c r="Z110" s="7"/>
      <c r="AA110" s="8"/>
      <c r="AB110" s="9"/>
      <c r="AD110" s="10"/>
      <c r="AE110" s="11"/>
      <c r="AF110" s="12"/>
      <c r="AG110" s="13"/>
      <c r="AI110" s="6"/>
      <c r="AJ110" s="7"/>
      <c r="AK110" s="8"/>
      <c r="AL110" s="9"/>
      <c r="AN110" s="10"/>
      <c r="AO110" s="11"/>
      <c r="AP110" s="12"/>
      <c r="AQ110" s="13"/>
      <c r="AS110" s="6"/>
      <c r="AT110" s="7"/>
      <c r="AU110" s="8"/>
      <c r="AV110" s="9"/>
      <c r="AX110" s="10"/>
      <c r="AY110" s="11"/>
      <c r="AZ110" s="12"/>
      <c r="BA110" s="13"/>
      <c r="BC110" s="6"/>
      <c r="BD110" s="7"/>
      <c r="BE110" s="8"/>
      <c r="BF110" s="9"/>
      <c r="BG110" s="4"/>
      <c r="BH110" s="46">
        <f t="shared" si="14"/>
        <v>3</v>
      </c>
      <c r="BI110" s="47">
        <f t="shared" si="15"/>
        <v>0.89999999999999991</v>
      </c>
    </row>
    <row r="111" spans="1:61" x14ac:dyDescent="0.25">
      <c r="A111" s="42" t="s">
        <v>198</v>
      </c>
      <c r="B111" s="43">
        <v>4</v>
      </c>
      <c r="C111" s="42" t="s">
        <v>64</v>
      </c>
      <c r="D111" t="s">
        <v>55</v>
      </c>
      <c r="E111" s="6"/>
      <c r="F111" s="7"/>
      <c r="G111" s="8"/>
      <c r="H111" s="9">
        <v>3</v>
      </c>
      <c r="J111" s="10"/>
      <c r="K111" s="11"/>
      <c r="L111" s="12"/>
      <c r="M111" s="13"/>
      <c r="O111" s="6"/>
      <c r="P111" s="7"/>
      <c r="Q111" s="8"/>
      <c r="R111" s="9">
        <v>3</v>
      </c>
      <c r="T111" s="10"/>
      <c r="U111" s="11"/>
      <c r="V111" s="12"/>
      <c r="W111" s="13">
        <v>1</v>
      </c>
      <c r="Y111" s="6"/>
      <c r="Z111" s="7"/>
      <c r="AA111" s="8"/>
      <c r="AB111" s="9"/>
      <c r="AD111" s="10"/>
      <c r="AE111" s="11"/>
      <c r="AF111" s="12"/>
      <c r="AG111" s="13"/>
      <c r="AI111" s="6"/>
      <c r="AJ111" s="7"/>
      <c r="AK111" s="8"/>
      <c r="AL111" s="9"/>
      <c r="AN111" s="10"/>
      <c r="AO111" s="11"/>
      <c r="AP111" s="12"/>
      <c r="AQ111" s="13"/>
      <c r="AS111" s="6"/>
      <c r="AT111" s="7"/>
      <c r="AU111" s="8"/>
      <c r="AV111" s="9"/>
      <c r="AX111" s="10"/>
      <c r="AY111" s="11"/>
      <c r="AZ111" s="12"/>
      <c r="BA111" s="13"/>
      <c r="BC111" s="6"/>
      <c r="BD111" s="7"/>
      <c r="BE111" s="8"/>
      <c r="BF111" s="9"/>
      <c r="BG111" s="4"/>
      <c r="BH111" s="46">
        <f t="shared" si="14"/>
        <v>7</v>
      </c>
      <c r="BI111" s="47">
        <f t="shared" si="15"/>
        <v>2.1</v>
      </c>
    </row>
    <row r="112" spans="1:61" x14ac:dyDescent="0.25">
      <c r="A112" s="42" t="s">
        <v>197</v>
      </c>
      <c r="B112" s="43">
        <v>4</v>
      </c>
      <c r="C112" s="42" t="s">
        <v>64</v>
      </c>
      <c r="D112" t="s">
        <v>55</v>
      </c>
      <c r="E112" s="6"/>
      <c r="F112" s="7"/>
      <c r="G112" s="8"/>
      <c r="H112" s="9"/>
      <c r="J112" s="10"/>
      <c r="K112" s="11"/>
      <c r="L112" s="12"/>
      <c r="M112" s="13"/>
      <c r="O112" s="6"/>
      <c r="P112" s="7"/>
      <c r="Q112" s="8"/>
      <c r="R112" s="9">
        <v>3</v>
      </c>
      <c r="T112" s="10"/>
      <c r="U112" s="11"/>
      <c r="V112" s="12"/>
      <c r="W112" s="13"/>
      <c r="Y112" s="6"/>
      <c r="Z112" s="7"/>
      <c r="AA112" s="8"/>
      <c r="AB112" s="9">
        <v>1</v>
      </c>
      <c r="AD112" s="10"/>
      <c r="AE112" s="11"/>
      <c r="AF112" s="12"/>
      <c r="AG112" s="13"/>
      <c r="AI112" s="6"/>
      <c r="AJ112" s="7"/>
      <c r="AK112" s="8"/>
      <c r="AL112" s="9"/>
      <c r="AN112" s="10"/>
      <c r="AO112" s="11"/>
      <c r="AP112" s="12"/>
      <c r="AQ112" s="13"/>
      <c r="AS112" s="6"/>
      <c r="AT112" s="7"/>
      <c r="AU112" s="8"/>
      <c r="AV112" s="9"/>
      <c r="AX112" s="10"/>
      <c r="AY112" s="11"/>
      <c r="AZ112" s="12"/>
      <c r="BA112" s="13"/>
      <c r="BC112" s="6"/>
      <c r="BD112" s="7"/>
      <c r="BE112" s="8"/>
      <c r="BF112" s="9"/>
      <c r="BG112" s="4"/>
      <c r="BH112" s="46">
        <f t="shared" si="14"/>
        <v>4</v>
      </c>
      <c r="BI112" s="47">
        <f t="shared" si="15"/>
        <v>1.2</v>
      </c>
    </row>
    <row r="113" spans="1:61" x14ac:dyDescent="0.25">
      <c r="A113" s="42" t="s">
        <v>377</v>
      </c>
      <c r="B113" s="43">
        <v>4</v>
      </c>
      <c r="C113" s="42" t="s">
        <v>64</v>
      </c>
      <c r="D113" t="s">
        <v>55</v>
      </c>
      <c r="E113" s="6"/>
      <c r="F113" s="7"/>
      <c r="G113" s="8"/>
      <c r="H113" s="9">
        <v>2</v>
      </c>
      <c r="J113" s="10"/>
      <c r="K113" s="11"/>
      <c r="L113" s="12"/>
      <c r="M113" s="13"/>
      <c r="O113" s="6"/>
      <c r="P113" s="7"/>
      <c r="Q113" s="8"/>
      <c r="R113" s="9">
        <v>4</v>
      </c>
      <c r="T113" s="10"/>
      <c r="U113" s="11">
        <v>1</v>
      </c>
      <c r="V113" s="12"/>
      <c r="W113" s="13"/>
      <c r="Y113" s="6"/>
      <c r="Z113" s="7"/>
      <c r="AA113" s="8"/>
      <c r="AB113" s="9">
        <v>3</v>
      </c>
      <c r="AD113" s="10"/>
      <c r="AE113" s="11"/>
      <c r="AF113" s="12"/>
      <c r="AG113" s="13">
        <v>2</v>
      </c>
      <c r="AI113" s="6"/>
      <c r="AJ113" s="7"/>
      <c r="AK113" s="8"/>
      <c r="AL113" s="9"/>
      <c r="AN113" s="10"/>
      <c r="AO113" s="11"/>
      <c r="AP113" s="12"/>
      <c r="AQ113" s="13"/>
      <c r="AS113" s="6"/>
      <c r="AT113" s="7"/>
      <c r="AU113" s="8"/>
      <c r="AV113" s="9"/>
      <c r="AX113" s="10"/>
      <c r="AY113" s="11"/>
      <c r="AZ113" s="12"/>
      <c r="BA113" s="13"/>
      <c r="BC113" s="6"/>
      <c r="BD113" s="7"/>
      <c r="BE113" s="8"/>
      <c r="BF113" s="9"/>
      <c r="BG113" s="4"/>
      <c r="BH113" s="46">
        <f t="shared" si="14"/>
        <v>12</v>
      </c>
      <c r="BI113" s="47">
        <f t="shared" si="15"/>
        <v>3.5999999999999996</v>
      </c>
    </row>
    <row r="114" spans="1:61" x14ac:dyDescent="0.25">
      <c r="A114" s="42" t="s">
        <v>195</v>
      </c>
      <c r="B114" s="43">
        <v>4</v>
      </c>
      <c r="C114" s="42" t="s">
        <v>64</v>
      </c>
      <c r="D114" t="s">
        <v>55</v>
      </c>
      <c r="E114" s="6"/>
      <c r="F114" s="7"/>
      <c r="G114" s="8"/>
      <c r="H114" s="9"/>
      <c r="J114" s="10"/>
      <c r="K114" s="11"/>
      <c r="L114" s="12"/>
      <c r="M114" s="13"/>
      <c r="O114" s="6"/>
      <c r="P114" s="7"/>
      <c r="Q114" s="8"/>
      <c r="R114" s="9">
        <v>8</v>
      </c>
      <c r="T114" s="10"/>
      <c r="U114" s="11"/>
      <c r="V114" s="12"/>
      <c r="W114" s="13">
        <v>7</v>
      </c>
      <c r="Y114" s="6">
        <v>3</v>
      </c>
      <c r="Z114" s="7">
        <v>4</v>
      </c>
      <c r="AA114" s="8"/>
      <c r="AB114" s="9">
        <v>7</v>
      </c>
      <c r="AD114" s="10">
        <v>2</v>
      </c>
      <c r="AE114" s="11"/>
      <c r="AF114" s="12">
        <v>1</v>
      </c>
      <c r="AG114" s="13">
        <v>6</v>
      </c>
      <c r="AI114" s="6"/>
      <c r="AJ114" s="7"/>
      <c r="AK114" s="8"/>
      <c r="AL114" s="9"/>
      <c r="AN114" s="10"/>
      <c r="AO114" s="11"/>
      <c r="AP114" s="12"/>
      <c r="AQ114" s="13"/>
      <c r="AS114" s="6"/>
      <c r="AT114" s="7"/>
      <c r="AU114" s="8"/>
      <c r="AV114" s="9"/>
      <c r="AX114" s="10"/>
      <c r="AY114" s="11"/>
      <c r="AZ114" s="12"/>
      <c r="BA114" s="13"/>
      <c r="BC114" s="6"/>
      <c r="BD114" s="7"/>
      <c r="BE114" s="8"/>
      <c r="BF114" s="9"/>
      <c r="BG114" s="4"/>
      <c r="BH114" s="46">
        <f t="shared" si="14"/>
        <v>38</v>
      </c>
      <c r="BI114" s="47">
        <f t="shared" si="15"/>
        <v>11.4</v>
      </c>
    </row>
    <row r="115" spans="1:61" x14ac:dyDescent="0.25">
      <c r="A115" s="42" t="s">
        <v>194</v>
      </c>
      <c r="B115" s="43">
        <v>4</v>
      </c>
      <c r="C115" s="42" t="s">
        <v>64</v>
      </c>
      <c r="D115" t="s">
        <v>55</v>
      </c>
      <c r="E115" s="6"/>
      <c r="F115" s="7"/>
      <c r="G115" s="8"/>
      <c r="H115" s="9">
        <v>4</v>
      </c>
      <c r="J115" s="10"/>
      <c r="K115" s="11"/>
      <c r="L115" s="12"/>
      <c r="M115" s="13"/>
      <c r="O115" s="6"/>
      <c r="P115" s="7">
        <v>2</v>
      </c>
      <c r="Q115" s="8">
        <v>3</v>
      </c>
      <c r="R115" s="9">
        <v>11</v>
      </c>
      <c r="T115" s="10"/>
      <c r="U115" s="11">
        <v>3</v>
      </c>
      <c r="V115" s="12"/>
      <c r="W115" s="13">
        <v>8</v>
      </c>
      <c r="Y115" s="6"/>
      <c r="Z115" s="7">
        <v>2</v>
      </c>
      <c r="AA115" s="8"/>
      <c r="AB115" s="9"/>
      <c r="AD115" s="10"/>
      <c r="AE115" s="11"/>
      <c r="AF115" s="12"/>
      <c r="AG115" s="13">
        <v>8</v>
      </c>
      <c r="AI115" s="6"/>
      <c r="AJ115" s="7"/>
      <c r="AK115" s="8"/>
      <c r="AL115" s="9"/>
      <c r="AN115" s="10"/>
      <c r="AO115" s="11"/>
      <c r="AP115" s="12"/>
      <c r="AQ115" s="13"/>
      <c r="AS115" s="6"/>
      <c r="AT115" s="7"/>
      <c r="AU115" s="8"/>
      <c r="AV115" s="9"/>
      <c r="AX115" s="10"/>
      <c r="AY115" s="11"/>
      <c r="AZ115" s="12"/>
      <c r="BA115" s="13"/>
      <c r="BC115" s="6"/>
      <c r="BD115" s="7"/>
      <c r="BE115" s="8"/>
      <c r="BF115" s="9"/>
      <c r="BG115" s="4"/>
      <c r="BH115" s="46">
        <f t="shared" si="14"/>
        <v>41</v>
      </c>
      <c r="BI115" s="47">
        <f t="shared" si="15"/>
        <v>12.299999999999999</v>
      </c>
    </row>
    <row r="116" spans="1:61" x14ac:dyDescent="0.25">
      <c r="A116" s="42" t="s">
        <v>193</v>
      </c>
      <c r="B116" s="43">
        <v>6</v>
      </c>
      <c r="C116" s="42" t="s">
        <v>64</v>
      </c>
      <c r="D116" t="s">
        <v>50</v>
      </c>
      <c r="E116" s="6">
        <v>3</v>
      </c>
      <c r="F116" s="7"/>
      <c r="G116" s="8"/>
      <c r="H116" s="9"/>
      <c r="J116" s="10"/>
      <c r="K116" s="11"/>
      <c r="L116" s="12"/>
      <c r="M116" s="13"/>
      <c r="O116" s="6"/>
      <c r="P116" s="7"/>
      <c r="Q116" s="8"/>
      <c r="R116" s="9">
        <v>6</v>
      </c>
      <c r="T116" s="10"/>
      <c r="U116" s="11">
        <v>2</v>
      </c>
      <c r="V116" s="12"/>
      <c r="W116" s="13">
        <v>6</v>
      </c>
      <c r="Y116" s="6">
        <v>4</v>
      </c>
      <c r="Z116" s="7"/>
      <c r="AA116" s="8"/>
      <c r="AB116" s="9">
        <v>5</v>
      </c>
      <c r="AD116" s="10">
        <v>2</v>
      </c>
      <c r="AE116" s="11"/>
      <c r="AF116" s="12">
        <v>3</v>
      </c>
      <c r="AG116" s="13">
        <v>4</v>
      </c>
      <c r="AI116" s="6">
        <v>2</v>
      </c>
      <c r="AJ116" s="7"/>
      <c r="AK116" s="8"/>
      <c r="AL116" s="9"/>
      <c r="AN116" s="10"/>
      <c r="AO116" s="11"/>
      <c r="AP116" s="12"/>
      <c r="AQ116" s="13"/>
      <c r="AS116" s="6"/>
      <c r="AT116" s="7"/>
      <c r="AU116" s="8"/>
      <c r="AV116" s="9"/>
      <c r="AX116" s="10"/>
      <c r="AY116" s="11"/>
      <c r="AZ116" s="12"/>
      <c r="BA116" s="13"/>
      <c r="BC116" s="6"/>
      <c r="BD116" s="7"/>
      <c r="BE116" s="8"/>
      <c r="BF116" s="9"/>
      <c r="BG116" s="4"/>
      <c r="BH116" s="46">
        <f t="shared" si="14"/>
        <v>37</v>
      </c>
      <c r="BI116" s="47">
        <f t="shared" si="15"/>
        <v>11.1</v>
      </c>
    </row>
    <row r="117" spans="1:61" x14ac:dyDescent="0.25">
      <c r="A117" s="42" t="s">
        <v>192</v>
      </c>
      <c r="B117" s="43">
        <v>6</v>
      </c>
      <c r="C117" s="42" t="s">
        <v>64</v>
      </c>
      <c r="D117" t="s">
        <v>50</v>
      </c>
      <c r="E117" s="6"/>
      <c r="F117" s="7"/>
      <c r="G117" s="8"/>
      <c r="H117" s="9"/>
      <c r="J117" s="10"/>
      <c r="K117" s="11"/>
      <c r="L117" s="12"/>
      <c r="M117" s="13"/>
      <c r="O117" s="6"/>
      <c r="P117" s="7"/>
      <c r="Q117" s="8"/>
      <c r="R117" s="9"/>
      <c r="T117" s="10"/>
      <c r="U117" s="11">
        <v>4</v>
      </c>
      <c r="V117" s="12"/>
      <c r="W117" s="13"/>
      <c r="Y117" s="6"/>
      <c r="Z117" s="7"/>
      <c r="AA117" s="8"/>
      <c r="AB117" s="9">
        <v>1</v>
      </c>
      <c r="AD117" s="10"/>
      <c r="AE117" s="11"/>
      <c r="AF117" s="12"/>
      <c r="AG117" s="13"/>
      <c r="AI117" s="6"/>
      <c r="AJ117" s="7"/>
      <c r="AK117" s="8"/>
      <c r="AL117" s="9"/>
      <c r="AN117" s="10"/>
      <c r="AO117" s="11"/>
      <c r="AP117" s="12"/>
      <c r="AQ117" s="13"/>
      <c r="AS117" s="6"/>
      <c r="AT117" s="7"/>
      <c r="AU117" s="8"/>
      <c r="AV117" s="9"/>
      <c r="AX117" s="10"/>
      <c r="AY117" s="11"/>
      <c r="AZ117" s="12"/>
      <c r="BA117" s="13"/>
      <c r="BC117" s="6"/>
      <c r="BD117" s="7"/>
      <c r="BE117" s="8"/>
      <c r="BF117" s="9"/>
      <c r="BG117" s="4"/>
      <c r="BH117" s="46">
        <f t="shared" si="14"/>
        <v>5</v>
      </c>
      <c r="BI117" s="47">
        <f t="shared" si="15"/>
        <v>1.5</v>
      </c>
    </row>
    <row r="118" spans="1:61" x14ac:dyDescent="0.25">
      <c r="A118" s="42" t="s">
        <v>191</v>
      </c>
      <c r="B118" s="43">
        <v>7</v>
      </c>
      <c r="C118" s="42" t="s">
        <v>64</v>
      </c>
      <c r="D118" t="s">
        <v>50</v>
      </c>
      <c r="E118" s="6"/>
      <c r="F118" s="7"/>
      <c r="G118" s="8"/>
      <c r="H118" s="9"/>
      <c r="J118" s="10"/>
      <c r="K118" s="11"/>
      <c r="L118" s="12"/>
      <c r="M118" s="13"/>
      <c r="O118" s="6"/>
      <c r="P118" s="7"/>
      <c r="Q118" s="8"/>
      <c r="R118" s="9">
        <v>4</v>
      </c>
      <c r="T118" s="10"/>
      <c r="U118" s="11"/>
      <c r="V118" s="12"/>
      <c r="W118" s="13">
        <v>5</v>
      </c>
      <c r="Y118" s="6">
        <v>3</v>
      </c>
      <c r="Z118" s="7"/>
      <c r="AA118" s="8"/>
      <c r="AB118" s="9">
        <v>4</v>
      </c>
      <c r="AD118" s="10"/>
      <c r="AE118" s="11"/>
      <c r="AF118" s="12"/>
      <c r="AG118" s="13"/>
      <c r="AI118" s="6"/>
      <c r="AJ118" s="7"/>
      <c r="AK118" s="8"/>
      <c r="AL118" s="9"/>
      <c r="AN118" s="10"/>
      <c r="AO118" s="11"/>
      <c r="AP118" s="12"/>
      <c r="AQ118" s="13"/>
      <c r="AS118" s="6"/>
      <c r="AT118" s="7"/>
      <c r="AU118" s="8"/>
      <c r="AV118" s="9"/>
      <c r="AX118" s="10"/>
      <c r="AY118" s="11"/>
      <c r="AZ118" s="12"/>
      <c r="BA118" s="13"/>
      <c r="BC118" s="6"/>
      <c r="BD118" s="7"/>
      <c r="BE118" s="8"/>
      <c r="BF118" s="9"/>
      <c r="BG118" s="4"/>
      <c r="BH118" s="46">
        <f t="shared" si="14"/>
        <v>16</v>
      </c>
      <c r="BI118" s="47">
        <f t="shared" si="15"/>
        <v>4.8</v>
      </c>
    </row>
    <row r="119" spans="1:61" x14ac:dyDescent="0.25">
      <c r="A119" s="42" t="s">
        <v>367</v>
      </c>
      <c r="B119" s="43">
        <v>7</v>
      </c>
      <c r="C119" s="42" t="s">
        <v>64</v>
      </c>
      <c r="D119" t="s">
        <v>50</v>
      </c>
      <c r="E119" s="6"/>
      <c r="F119" s="7">
        <v>4</v>
      </c>
      <c r="G119" s="8">
        <v>7</v>
      </c>
      <c r="H119" s="9">
        <v>2</v>
      </c>
      <c r="J119" s="10"/>
      <c r="K119" s="11"/>
      <c r="L119" s="12">
        <v>5</v>
      </c>
      <c r="M119" s="13">
        <v>3</v>
      </c>
      <c r="O119" s="6"/>
      <c r="P119" s="7"/>
      <c r="Q119" s="8"/>
      <c r="R119" s="9">
        <v>7</v>
      </c>
      <c r="T119" s="10"/>
      <c r="U119" s="11">
        <v>3</v>
      </c>
      <c r="V119" s="12"/>
      <c r="W119" s="13">
        <v>9</v>
      </c>
      <c r="Y119" s="6">
        <v>1</v>
      </c>
      <c r="Z119" s="7"/>
      <c r="AA119" s="8">
        <v>7</v>
      </c>
      <c r="AB119" s="9">
        <v>8</v>
      </c>
      <c r="AD119" s="10"/>
      <c r="AE119" s="11"/>
      <c r="AF119" s="12"/>
      <c r="AG119" s="13">
        <v>7</v>
      </c>
      <c r="AI119" s="6">
        <v>1</v>
      </c>
      <c r="AJ119" s="7"/>
      <c r="AK119" s="8"/>
      <c r="AL119" s="9"/>
      <c r="AN119" s="10"/>
      <c r="AO119" s="11"/>
      <c r="AP119" s="12"/>
      <c r="AQ119" s="13"/>
      <c r="AS119" s="6"/>
      <c r="AT119" s="7"/>
      <c r="AU119" s="8"/>
      <c r="AV119" s="9"/>
      <c r="AX119" s="10"/>
      <c r="AY119" s="11"/>
      <c r="AZ119" s="12"/>
      <c r="BA119" s="13"/>
      <c r="BC119" s="6"/>
      <c r="BD119" s="7"/>
      <c r="BE119" s="8"/>
      <c r="BF119" s="9"/>
      <c r="BG119" s="4"/>
      <c r="BH119" s="46">
        <f t="shared" si="14"/>
        <v>64</v>
      </c>
      <c r="BI119" s="47">
        <f t="shared" si="15"/>
        <v>19.2</v>
      </c>
    </row>
    <row r="120" spans="1:61" x14ac:dyDescent="0.25">
      <c r="A120" s="42" t="s">
        <v>368</v>
      </c>
      <c r="B120" s="43">
        <v>7</v>
      </c>
      <c r="C120" s="42" t="s">
        <v>64</v>
      </c>
      <c r="D120" t="s">
        <v>50</v>
      </c>
      <c r="E120" s="6"/>
      <c r="F120" s="7"/>
      <c r="G120" s="8"/>
      <c r="H120" s="9"/>
      <c r="J120" s="10"/>
      <c r="K120" s="11"/>
      <c r="L120" s="12"/>
      <c r="M120" s="13"/>
      <c r="O120" s="6"/>
      <c r="P120" s="7"/>
      <c r="Q120" s="8"/>
      <c r="R120" s="9">
        <v>1</v>
      </c>
      <c r="T120" s="10"/>
      <c r="U120" s="11"/>
      <c r="V120" s="12"/>
      <c r="W120" s="13"/>
      <c r="Y120" s="6"/>
      <c r="Z120" s="7"/>
      <c r="AA120" s="8"/>
      <c r="AB120" s="9">
        <v>3</v>
      </c>
      <c r="AD120" s="10"/>
      <c r="AE120" s="11"/>
      <c r="AF120" s="12"/>
      <c r="AG120" s="13"/>
      <c r="AI120" s="6"/>
      <c r="AJ120" s="7"/>
      <c r="AK120" s="8"/>
      <c r="AL120" s="9"/>
      <c r="AN120" s="10"/>
      <c r="AO120" s="11"/>
      <c r="AP120" s="12"/>
      <c r="AQ120" s="13"/>
      <c r="AS120" s="6"/>
      <c r="AT120" s="7"/>
      <c r="AU120" s="8"/>
      <c r="AV120" s="9"/>
      <c r="AX120" s="10"/>
      <c r="AY120" s="11"/>
      <c r="AZ120" s="12"/>
      <c r="BA120" s="13"/>
      <c r="BC120" s="6"/>
      <c r="BD120" s="7"/>
      <c r="BE120" s="8"/>
      <c r="BF120" s="9"/>
      <c r="BG120" s="4"/>
      <c r="BH120" s="46">
        <f t="shared" si="14"/>
        <v>4</v>
      </c>
      <c r="BI120" s="47">
        <f t="shared" si="15"/>
        <v>1.2</v>
      </c>
    </row>
    <row r="121" spans="1:61" x14ac:dyDescent="0.25">
      <c r="A121" s="42" t="s">
        <v>378</v>
      </c>
      <c r="B121" s="43">
        <v>7</v>
      </c>
      <c r="C121" s="42" t="s">
        <v>64</v>
      </c>
      <c r="D121" t="s">
        <v>50</v>
      </c>
      <c r="E121" s="6">
        <v>5</v>
      </c>
      <c r="F121" s="7">
        <v>4</v>
      </c>
      <c r="G121" s="8">
        <v>3</v>
      </c>
      <c r="H121" s="9">
        <v>7</v>
      </c>
      <c r="J121" s="10"/>
      <c r="K121" s="11"/>
      <c r="L121" s="12">
        <v>7</v>
      </c>
      <c r="M121" s="13"/>
      <c r="O121" s="6"/>
      <c r="P121" s="7"/>
      <c r="Q121" s="8"/>
      <c r="R121" s="9">
        <v>8</v>
      </c>
      <c r="T121" s="10"/>
      <c r="U121" s="11"/>
      <c r="V121" s="12"/>
      <c r="W121" s="13">
        <v>6</v>
      </c>
      <c r="Y121" s="6"/>
      <c r="Z121" s="7"/>
      <c r="AA121" s="8">
        <v>5</v>
      </c>
      <c r="AB121" s="9">
        <v>4</v>
      </c>
      <c r="AD121" s="10"/>
      <c r="AE121" s="11"/>
      <c r="AF121" s="12"/>
      <c r="AG121" s="13">
        <v>3</v>
      </c>
      <c r="AI121" s="6"/>
      <c r="AJ121" s="7"/>
      <c r="AK121" s="8"/>
      <c r="AL121" s="9"/>
      <c r="AN121" s="10"/>
      <c r="AO121" s="11"/>
      <c r="AP121" s="12"/>
      <c r="AQ121" s="13"/>
      <c r="AS121" s="6"/>
      <c r="AT121" s="7"/>
      <c r="AU121" s="8"/>
      <c r="AV121" s="9"/>
      <c r="AX121" s="10"/>
      <c r="AY121" s="11"/>
      <c r="AZ121" s="12"/>
      <c r="BA121" s="13"/>
      <c r="BC121" s="6"/>
      <c r="BD121" s="7"/>
      <c r="BE121" s="8"/>
      <c r="BF121" s="9"/>
      <c r="BG121" s="4"/>
      <c r="BH121" s="46">
        <f t="shared" si="14"/>
        <v>52</v>
      </c>
      <c r="BI121" s="47">
        <f t="shared" si="15"/>
        <v>15.6</v>
      </c>
    </row>
    <row r="122" spans="1:61" x14ac:dyDescent="0.25">
      <c r="A122" s="42" t="s">
        <v>188</v>
      </c>
      <c r="B122" s="43">
        <v>6</v>
      </c>
      <c r="C122" s="42" t="s">
        <v>64</v>
      </c>
      <c r="D122" t="s">
        <v>51</v>
      </c>
      <c r="E122" s="6"/>
      <c r="F122" s="7"/>
      <c r="G122" s="8"/>
      <c r="H122" s="9"/>
      <c r="J122" s="10"/>
      <c r="K122" s="11"/>
      <c r="L122" s="12"/>
      <c r="M122" s="13"/>
      <c r="O122" s="6"/>
      <c r="P122" s="7"/>
      <c r="Q122" s="8"/>
      <c r="R122" s="9">
        <v>2</v>
      </c>
      <c r="T122" s="10"/>
      <c r="U122" s="11"/>
      <c r="V122" s="12"/>
      <c r="W122" s="13"/>
      <c r="Y122" s="6"/>
      <c r="Z122" s="7"/>
      <c r="AA122" s="8"/>
      <c r="AB122" s="9">
        <v>2</v>
      </c>
      <c r="AD122" s="10"/>
      <c r="AE122" s="11"/>
      <c r="AF122" s="12"/>
      <c r="AG122" s="13"/>
      <c r="AI122" s="6"/>
      <c r="AJ122" s="7"/>
      <c r="AK122" s="8"/>
      <c r="AL122" s="9"/>
      <c r="AN122" s="10"/>
      <c r="AO122" s="11"/>
      <c r="AP122" s="12"/>
      <c r="AQ122" s="13"/>
      <c r="AS122" s="6"/>
      <c r="AT122" s="7"/>
      <c r="AU122" s="8"/>
      <c r="AV122" s="9"/>
      <c r="AX122" s="10"/>
      <c r="AY122" s="11"/>
      <c r="AZ122" s="12"/>
      <c r="BA122" s="13"/>
      <c r="BC122" s="6"/>
      <c r="BD122" s="7"/>
      <c r="BE122" s="8"/>
      <c r="BF122" s="9"/>
      <c r="BG122" s="4"/>
      <c r="BH122" s="46">
        <f t="shared" si="14"/>
        <v>4</v>
      </c>
      <c r="BI122" s="47">
        <f t="shared" si="15"/>
        <v>1.2</v>
      </c>
    </row>
    <row r="123" spans="1:61" x14ac:dyDescent="0.25">
      <c r="A123" s="42" t="s">
        <v>369</v>
      </c>
      <c r="B123" s="43">
        <v>6</v>
      </c>
      <c r="C123" s="42" t="s">
        <v>64</v>
      </c>
      <c r="D123" t="s">
        <v>51</v>
      </c>
      <c r="E123" s="6"/>
      <c r="F123" s="7"/>
      <c r="G123" s="8"/>
      <c r="H123" s="9"/>
      <c r="J123" s="10"/>
      <c r="K123" s="11"/>
      <c r="L123" s="12"/>
      <c r="M123" s="13"/>
      <c r="O123" s="6"/>
      <c r="P123" s="7"/>
      <c r="Q123" s="8"/>
      <c r="R123" s="9">
        <v>4</v>
      </c>
      <c r="T123" s="10"/>
      <c r="U123" s="11"/>
      <c r="V123" s="12"/>
      <c r="W123" s="13"/>
      <c r="Y123" s="6">
        <v>3</v>
      </c>
      <c r="Z123" s="7">
        <v>2</v>
      </c>
      <c r="AA123" s="8">
        <v>3</v>
      </c>
      <c r="AB123" s="9">
        <v>6</v>
      </c>
      <c r="AD123" s="10"/>
      <c r="AE123" s="11"/>
      <c r="AF123" s="12"/>
      <c r="AG123" s="13"/>
      <c r="AI123" s="6"/>
      <c r="AJ123" s="7"/>
      <c r="AK123" s="8"/>
      <c r="AL123" s="9"/>
      <c r="AN123" s="10"/>
      <c r="AO123" s="11"/>
      <c r="AP123" s="12"/>
      <c r="AQ123" s="13"/>
      <c r="AS123" s="6"/>
      <c r="AT123" s="7"/>
      <c r="AU123" s="8"/>
      <c r="AV123" s="9"/>
      <c r="AX123" s="10"/>
      <c r="AY123" s="11"/>
      <c r="AZ123" s="12"/>
      <c r="BA123" s="13"/>
      <c r="BC123" s="6"/>
      <c r="BD123" s="7"/>
      <c r="BE123" s="8"/>
      <c r="BF123" s="9"/>
      <c r="BG123" s="4"/>
      <c r="BH123" s="46">
        <f t="shared" si="14"/>
        <v>18</v>
      </c>
      <c r="BI123" s="47">
        <f t="shared" si="15"/>
        <v>5.3999999999999995</v>
      </c>
    </row>
    <row r="124" spans="1:61" x14ac:dyDescent="0.25">
      <c r="A124" s="42" t="s">
        <v>370</v>
      </c>
      <c r="B124" s="43">
        <v>6</v>
      </c>
      <c r="C124" s="42" t="s">
        <v>64</v>
      </c>
      <c r="D124" t="s">
        <v>51</v>
      </c>
      <c r="E124" s="6"/>
      <c r="F124" s="7">
        <v>3</v>
      </c>
      <c r="G124" s="8">
        <v>2</v>
      </c>
      <c r="H124" s="9">
        <v>3</v>
      </c>
      <c r="J124" s="10"/>
      <c r="K124" s="11"/>
      <c r="L124" s="12"/>
      <c r="M124" s="13">
        <v>4</v>
      </c>
      <c r="O124" s="6">
        <v>3</v>
      </c>
      <c r="P124" s="7"/>
      <c r="Q124" s="8">
        <v>2</v>
      </c>
      <c r="R124" s="9">
        <v>7</v>
      </c>
      <c r="T124" s="10"/>
      <c r="U124" s="11">
        <v>2</v>
      </c>
      <c r="V124" s="12"/>
      <c r="W124" s="13">
        <v>6</v>
      </c>
      <c r="Y124" s="6"/>
      <c r="Z124" s="7">
        <v>3</v>
      </c>
      <c r="AA124" s="8">
        <v>3</v>
      </c>
      <c r="AB124" s="9">
        <v>4</v>
      </c>
      <c r="AD124" s="10">
        <v>3</v>
      </c>
      <c r="AE124" s="11"/>
      <c r="AF124" s="12">
        <v>3</v>
      </c>
      <c r="AG124" s="13">
        <v>5</v>
      </c>
      <c r="AI124" s="6"/>
      <c r="AJ124" s="7">
        <v>2</v>
      </c>
      <c r="AK124" s="8"/>
      <c r="AL124" s="9"/>
      <c r="AN124" s="10"/>
      <c r="AO124" s="11"/>
      <c r="AP124" s="12"/>
      <c r="AQ124" s="13"/>
      <c r="AS124" s="6"/>
      <c r="AT124" s="7"/>
      <c r="AU124" s="8"/>
      <c r="AV124" s="9"/>
      <c r="AX124" s="10"/>
      <c r="AY124" s="11"/>
      <c r="AZ124" s="12"/>
      <c r="BA124" s="13"/>
      <c r="BC124" s="6"/>
      <c r="BD124" s="7"/>
      <c r="BE124" s="8"/>
      <c r="BF124" s="9"/>
      <c r="BG124" s="4"/>
      <c r="BH124" s="46">
        <f t="shared" si="14"/>
        <v>55</v>
      </c>
      <c r="BI124" s="47">
        <f t="shared" si="15"/>
        <v>16.5</v>
      </c>
    </row>
    <row r="125" spans="1:61" x14ac:dyDescent="0.25">
      <c r="A125" s="42" t="s">
        <v>187</v>
      </c>
      <c r="B125" s="43">
        <v>6</v>
      </c>
      <c r="C125" s="42" t="s">
        <v>64</v>
      </c>
      <c r="D125" t="s">
        <v>51</v>
      </c>
      <c r="E125" s="6"/>
      <c r="F125" s="7"/>
      <c r="G125" s="8"/>
      <c r="H125" s="9"/>
      <c r="J125" s="10"/>
      <c r="K125" s="11"/>
      <c r="L125" s="12"/>
      <c r="M125" s="13"/>
      <c r="O125" s="6"/>
      <c r="P125" s="7"/>
      <c r="Q125" s="8"/>
      <c r="R125" s="9">
        <v>6</v>
      </c>
      <c r="T125" s="10"/>
      <c r="U125" s="11">
        <v>2</v>
      </c>
      <c r="V125" s="12"/>
      <c r="W125" s="13">
        <v>5</v>
      </c>
      <c r="Y125" s="6"/>
      <c r="Z125" s="7"/>
      <c r="AA125" s="8"/>
      <c r="AB125" s="9">
        <v>5</v>
      </c>
      <c r="AD125" s="10">
        <v>2</v>
      </c>
      <c r="AE125" s="11"/>
      <c r="AF125" s="12"/>
      <c r="AG125" s="13">
        <v>4</v>
      </c>
      <c r="AI125" s="6"/>
      <c r="AJ125" s="7"/>
      <c r="AK125" s="8"/>
      <c r="AL125" s="9"/>
      <c r="AN125" s="10"/>
      <c r="AO125" s="11"/>
      <c r="AP125" s="12"/>
      <c r="AQ125" s="13"/>
      <c r="AS125" s="6"/>
      <c r="AT125" s="7"/>
      <c r="AU125" s="8"/>
      <c r="AV125" s="9"/>
      <c r="AX125" s="10"/>
      <c r="AY125" s="11"/>
      <c r="AZ125" s="12"/>
      <c r="BA125" s="13"/>
      <c r="BC125" s="6"/>
      <c r="BD125" s="7"/>
      <c r="BE125" s="8"/>
      <c r="BF125" s="9"/>
      <c r="BG125" s="4"/>
      <c r="BH125" s="46">
        <f t="shared" si="14"/>
        <v>24</v>
      </c>
      <c r="BI125" s="47">
        <f t="shared" si="15"/>
        <v>7.1999999999999993</v>
      </c>
    </row>
    <row r="126" spans="1:61" x14ac:dyDescent="0.25">
      <c r="A126" s="42" t="s">
        <v>186</v>
      </c>
      <c r="B126" s="43">
        <v>6</v>
      </c>
      <c r="C126" s="42" t="s">
        <v>64</v>
      </c>
      <c r="D126" t="s">
        <v>51</v>
      </c>
      <c r="E126" s="6"/>
      <c r="F126" s="7">
        <v>2</v>
      </c>
      <c r="G126" s="8"/>
      <c r="H126" s="9"/>
      <c r="J126" s="10"/>
      <c r="K126" s="11"/>
      <c r="L126" s="12"/>
      <c r="M126" s="13"/>
      <c r="O126" s="6"/>
      <c r="P126" s="7"/>
      <c r="Q126" s="8"/>
      <c r="R126" s="9">
        <v>6</v>
      </c>
      <c r="T126" s="10"/>
      <c r="U126" s="11">
        <v>2</v>
      </c>
      <c r="V126" s="12"/>
      <c r="W126" s="13">
        <v>6</v>
      </c>
      <c r="Y126" s="6"/>
      <c r="Z126" s="7"/>
      <c r="AA126" s="8"/>
      <c r="AB126" s="9"/>
      <c r="AD126" s="10">
        <v>3</v>
      </c>
      <c r="AE126" s="11"/>
      <c r="AF126" s="12"/>
      <c r="AG126" s="13">
        <v>9</v>
      </c>
      <c r="AI126" s="6">
        <v>7</v>
      </c>
      <c r="AJ126" s="7">
        <v>3</v>
      </c>
      <c r="AK126" s="8"/>
      <c r="AL126" s="9"/>
      <c r="AN126" s="10"/>
      <c r="AO126" s="11"/>
      <c r="AP126" s="12"/>
      <c r="AQ126" s="13"/>
      <c r="AS126" s="6"/>
      <c r="AT126" s="7"/>
      <c r="AU126" s="8"/>
      <c r="AV126" s="9"/>
      <c r="AX126" s="10"/>
      <c r="AY126" s="11"/>
      <c r="AZ126" s="12"/>
      <c r="BA126" s="13"/>
      <c r="BC126" s="6"/>
      <c r="BD126" s="7"/>
      <c r="BE126" s="8"/>
      <c r="BF126" s="9"/>
      <c r="BG126" s="4"/>
      <c r="BH126" s="46">
        <f t="shared" si="14"/>
        <v>38</v>
      </c>
      <c r="BI126" s="47">
        <f t="shared" si="15"/>
        <v>11.4</v>
      </c>
    </row>
    <row r="127" spans="1:61" x14ac:dyDescent="0.25">
      <c r="A127" s="42" t="s">
        <v>185</v>
      </c>
      <c r="B127" s="43">
        <v>8</v>
      </c>
      <c r="C127" s="42" t="s">
        <v>64</v>
      </c>
      <c r="D127" t="s">
        <v>61</v>
      </c>
      <c r="E127" s="6"/>
      <c r="F127" s="7"/>
      <c r="G127" s="8"/>
      <c r="H127" s="9"/>
      <c r="J127" s="10"/>
      <c r="K127" s="11"/>
      <c r="L127" s="12"/>
      <c r="M127" s="13"/>
      <c r="O127" s="6"/>
      <c r="P127" s="7"/>
      <c r="Q127" s="8"/>
      <c r="R127" s="9"/>
      <c r="T127" s="10"/>
      <c r="U127" s="11"/>
      <c r="V127" s="12"/>
      <c r="W127" s="13"/>
      <c r="Y127" s="6"/>
      <c r="Z127" s="7"/>
      <c r="AA127" s="8"/>
      <c r="AB127" s="9"/>
      <c r="AD127" s="10"/>
      <c r="AE127" s="11"/>
      <c r="AF127" s="12"/>
      <c r="AG127" s="13"/>
      <c r="AI127" s="6"/>
      <c r="AJ127" s="7"/>
      <c r="AK127" s="8"/>
      <c r="AL127" s="9"/>
      <c r="AN127" s="10"/>
      <c r="AO127" s="11"/>
      <c r="AP127" s="12"/>
      <c r="AQ127" s="13"/>
      <c r="AS127" s="6"/>
      <c r="AT127" s="7"/>
      <c r="AU127" s="8"/>
      <c r="AV127" s="9"/>
      <c r="AX127" s="10"/>
      <c r="AY127" s="11"/>
      <c r="AZ127" s="12"/>
      <c r="BA127" s="13"/>
      <c r="BC127" s="6"/>
      <c r="BD127" s="7"/>
      <c r="BE127" s="8"/>
      <c r="BF127" s="9"/>
      <c r="BG127" s="4"/>
      <c r="BH127" s="46">
        <f t="shared" si="14"/>
        <v>0</v>
      </c>
      <c r="BI127" s="47">
        <f t="shared" si="15"/>
        <v>0</v>
      </c>
    </row>
    <row r="128" spans="1:61" x14ac:dyDescent="0.25">
      <c r="A128" s="42" t="s">
        <v>371</v>
      </c>
      <c r="B128" s="43">
        <v>8</v>
      </c>
      <c r="C128" s="42" t="s">
        <v>64</v>
      </c>
      <c r="D128" t="s">
        <v>61</v>
      </c>
      <c r="E128" s="6"/>
      <c r="F128" s="7"/>
      <c r="G128" s="8"/>
      <c r="H128" s="9"/>
      <c r="J128" s="10"/>
      <c r="K128" s="11"/>
      <c r="L128" s="12"/>
      <c r="M128" s="13"/>
      <c r="O128" s="6"/>
      <c r="P128" s="7"/>
      <c r="Q128" s="8"/>
      <c r="R128" s="9">
        <v>1</v>
      </c>
      <c r="T128" s="10"/>
      <c r="U128" s="11"/>
      <c r="V128" s="12"/>
      <c r="W128" s="13"/>
      <c r="Y128" s="6"/>
      <c r="Z128" s="7"/>
      <c r="AA128" s="8"/>
      <c r="AB128" s="9"/>
      <c r="AD128" s="10"/>
      <c r="AE128" s="11"/>
      <c r="AF128" s="12"/>
      <c r="AG128" s="13"/>
      <c r="AI128" s="6"/>
      <c r="AJ128" s="7"/>
      <c r="AK128" s="8"/>
      <c r="AL128" s="9"/>
      <c r="AN128" s="10"/>
      <c r="AO128" s="11"/>
      <c r="AP128" s="12"/>
      <c r="AQ128" s="13"/>
      <c r="AS128" s="6"/>
      <c r="AT128" s="7"/>
      <c r="AU128" s="8"/>
      <c r="AV128" s="9"/>
      <c r="AX128" s="10"/>
      <c r="AY128" s="11"/>
      <c r="AZ128" s="12"/>
      <c r="BA128" s="13"/>
      <c r="BC128" s="6"/>
      <c r="BD128" s="7"/>
      <c r="BE128" s="8"/>
      <c r="BF128" s="9"/>
      <c r="BG128" s="4"/>
      <c r="BH128" s="46">
        <f t="shared" si="14"/>
        <v>1</v>
      </c>
      <c r="BI128" s="47">
        <f t="shared" si="15"/>
        <v>0.3</v>
      </c>
    </row>
    <row r="129" spans="1:61" x14ac:dyDescent="0.25">
      <c r="A129" s="42" t="s">
        <v>372</v>
      </c>
      <c r="B129" s="43">
        <v>8</v>
      </c>
      <c r="C129" s="42" t="s">
        <v>64</v>
      </c>
      <c r="D129" t="s">
        <v>61</v>
      </c>
      <c r="E129" s="6"/>
      <c r="F129" s="7"/>
      <c r="G129" s="8"/>
      <c r="H129" s="9"/>
      <c r="J129" s="10"/>
      <c r="K129" s="11"/>
      <c r="L129" s="12"/>
      <c r="M129" s="13"/>
      <c r="O129" s="6"/>
      <c r="P129" s="7"/>
      <c r="Q129" s="8"/>
      <c r="R129" s="9">
        <v>4</v>
      </c>
      <c r="T129" s="10"/>
      <c r="U129" s="11"/>
      <c r="V129" s="12"/>
      <c r="W129" s="13">
        <v>7</v>
      </c>
      <c r="Y129" s="6">
        <v>3</v>
      </c>
      <c r="Z129" s="7">
        <v>2</v>
      </c>
      <c r="AA129" s="8">
        <v>3</v>
      </c>
      <c r="AB129" s="9">
        <v>7</v>
      </c>
      <c r="AD129" s="10">
        <v>1</v>
      </c>
      <c r="AE129" s="11"/>
      <c r="AF129" s="12">
        <v>4</v>
      </c>
      <c r="AG129" s="13"/>
      <c r="AI129" s="6"/>
      <c r="AJ129" s="7"/>
      <c r="AK129" s="8"/>
      <c r="AL129" s="9"/>
      <c r="AN129" s="10"/>
      <c r="AO129" s="11"/>
      <c r="AP129" s="12"/>
      <c r="AQ129" s="13"/>
      <c r="AS129" s="6"/>
      <c r="AT129" s="7"/>
      <c r="AU129" s="8"/>
      <c r="AV129" s="9"/>
      <c r="AX129" s="10"/>
      <c r="AY129" s="11"/>
      <c r="AZ129" s="12"/>
      <c r="BA129" s="13"/>
      <c r="BC129" s="6"/>
      <c r="BD129" s="7"/>
      <c r="BE129" s="8"/>
      <c r="BF129" s="9"/>
      <c r="BG129" s="4"/>
      <c r="BH129" s="46">
        <f t="shared" si="14"/>
        <v>31</v>
      </c>
      <c r="BI129" s="47">
        <f t="shared" si="15"/>
        <v>9.2999999999999989</v>
      </c>
    </row>
    <row r="130" spans="1:61" x14ac:dyDescent="0.25">
      <c r="A130" s="42" t="s">
        <v>373</v>
      </c>
      <c r="B130" s="43">
        <v>8</v>
      </c>
      <c r="C130" s="42" t="s">
        <v>64</v>
      </c>
      <c r="D130" t="s">
        <v>61</v>
      </c>
      <c r="E130" s="6"/>
      <c r="F130" s="7"/>
      <c r="G130" s="8"/>
      <c r="H130" s="9"/>
      <c r="J130" s="10"/>
      <c r="K130" s="11"/>
      <c r="L130" s="12"/>
      <c r="M130" s="13"/>
      <c r="O130" s="6"/>
      <c r="P130" s="7"/>
      <c r="Q130" s="8"/>
      <c r="R130" s="9">
        <v>3</v>
      </c>
      <c r="T130" s="10"/>
      <c r="U130" s="11"/>
      <c r="V130" s="12"/>
      <c r="W130" s="13">
        <v>7</v>
      </c>
      <c r="Y130" s="6"/>
      <c r="Z130" s="7">
        <v>2</v>
      </c>
      <c r="AA130" s="8">
        <v>3</v>
      </c>
      <c r="AB130" s="9">
        <v>8</v>
      </c>
      <c r="AD130" s="10">
        <v>1</v>
      </c>
      <c r="AE130" s="11"/>
      <c r="AF130" s="12">
        <v>4</v>
      </c>
      <c r="AG130" s="13">
        <v>9</v>
      </c>
      <c r="AI130" s="6"/>
      <c r="AJ130" s="7"/>
      <c r="AK130" s="8"/>
      <c r="AL130" s="9"/>
      <c r="AN130" s="10"/>
      <c r="AO130" s="11"/>
      <c r="AP130" s="12"/>
      <c r="AQ130" s="13"/>
      <c r="AS130" s="6"/>
      <c r="AT130" s="7"/>
      <c r="AU130" s="8"/>
      <c r="AV130" s="9"/>
      <c r="AX130" s="10"/>
      <c r="AY130" s="11"/>
      <c r="AZ130" s="12"/>
      <c r="BA130" s="13"/>
      <c r="BC130" s="6"/>
      <c r="BD130" s="7"/>
      <c r="BE130" s="8"/>
      <c r="BF130" s="9"/>
      <c r="BG130" s="4"/>
      <c r="BH130" s="46">
        <f t="shared" ref="BH130" si="20">SUM(E130:BF130)</f>
        <v>37</v>
      </c>
      <c r="BI130" s="47">
        <f t="shared" ref="BI130" si="21">(SUM(E130:BG130)*$D$2)</f>
        <v>11.1</v>
      </c>
    </row>
    <row r="131" spans="1:61" x14ac:dyDescent="0.25">
      <c r="A131" s="42" t="s">
        <v>182</v>
      </c>
      <c r="B131" s="43">
        <v>8</v>
      </c>
      <c r="C131" s="42" t="s">
        <v>64</v>
      </c>
      <c r="D131" t="s">
        <v>61</v>
      </c>
      <c r="E131" s="6">
        <v>3</v>
      </c>
      <c r="F131" s="7"/>
      <c r="G131" s="8"/>
      <c r="H131" s="9"/>
      <c r="J131" s="10"/>
      <c r="K131" s="11"/>
      <c r="L131" s="12"/>
      <c r="M131" s="13"/>
      <c r="O131" s="6"/>
      <c r="P131" s="7"/>
      <c r="Q131" s="8"/>
      <c r="R131" s="9">
        <v>6</v>
      </c>
      <c r="T131" s="10"/>
      <c r="U131" s="11"/>
      <c r="V131" s="12"/>
      <c r="W131" s="13">
        <v>8</v>
      </c>
      <c r="Y131" s="6">
        <v>2</v>
      </c>
      <c r="Z131" s="7"/>
      <c r="AA131" s="8">
        <v>5</v>
      </c>
      <c r="AB131" s="9"/>
      <c r="AD131" s="10"/>
      <c r="AE131" s="11"/>
      <c r="AF131" s="12"/>
      <c r="AG131" s="13">
        <v>3</v>
      </c>
      <c r="AI131" s="6">
        <v>2</v>
      </c>
      <c r="AJ131" s="7"/>
      <c r="AK131" s="8"/>
      <c r="AL131" s="9"/>
      <c r="AN131" s="10"/>
      <c r="AO131" s="11"/>
      <c r="AP131" s="12"/>
      <c r="AQ131" s="13"/>
      <c r="AS131" s="6"/>
      <c r="AT131" s="7"/>
      <c r="AU131" s="8"/>
      <c r="AV131" s="9"/>
      <c r="AX131" s="10"/>
      <c r="AY131" s="11"/>
      <c r="AZ131" s="12"/>
      <c r="BA131" s="13"/>
      <c r="BC131" s="6"/>
      <c r="BD131" s="7"/>
      <c r="BE131" s="8"/>
      <c r="BF131" s="9"/>
      <c r="BG131" s="4"/>
      <c r="BH131" s="46">
        <f t="shared" si="14"/>
        <v>29</v>
      </c>
      <c r="BI131" s="47">
        <f t="shared" si="15"/>
        <v>8.6999999999999993</v>
      </c>
    </row>
    <row r="132" spans="1:61" x14ac:dyDescent="0.25">
      <c r="A132" s="42" t="s">
        <v>181</v>
      </c>
      <c r="B132" s="43">
        <v>9</v>
      </c>
      <c r="C132" s="42" t="s">
        <v>64</v>
      </c>
      <c r="D132" t="s">
        <v>61</v>
      </c>
      <c r="E132" s="6"/>
      <c r="F132" s="7">
        <v>4</v>
      </c>
      <c r="G132" s="8"/>
      <c r="H132" s="9"/>
      <c r="J132" s="10"/>
      <c r="K132" s="11"/>
      <c r="L132" s="12">
        <v>2</v>
      </c>
      <c r="M132" s="13">
        <v>2</v>
      </c>
      <c r="O132" s="6"/>
      <c r="P132" s="7"/>
      <c r="Q132" s="8">
        <v>1</v>
      </c>
      <c r="R132" s="9">
        <v>10</v>
      </c>
      <c r="T132" s="10"/>
      <c r="U132" s="11">
        <v>1</v>
      </c>
      <c r="V132" s="12"/>
      <c r="W132" s="13">
        <v>7</v>
      </c>
      <c r="Y132" s="6"/>
      <c r="Z132" s="7">
        <v>5</v>
      </c>
      <c r="AA132" s="8">
        <v>2</v>
      </c>
      <c r="AB132" s="9">
        <v>2</v>
      </c>
      <c r="AD132" s="10"/>
      <c r="AE132" s="11"/>
      <c r="AF132" s="12">
        <v>1</v>
      </c>
      <c r="AG132" s="13"/>
      <c r="AI132" s="6"/>
      <c r="AJ132" s="7"/>
      <c r="AK132" s="8"/>
      <c r="AL132" s="9"/>
      <c r="AN132" s="10"/>
      <c r="AO132" s="11"/>
      <c r="AP132" s="12"/>
      <c r="AQ132" s="13"/>
      <c r="AS132" s="6"/>
      <c r="AT132" s="7"/>
      <c r="AU132" s="8"/>
      <c r="AV132" s="9"/>
      <c r="AX132" s="10"/>
      <c r="AY132" s="11"/>
      <c r="AZ132" s="12"/>
      <c r="BA132" s="13"/>
      <c r="BC132" s="6"/>
      <c r="BD132" s="7"/>
      <c r="BE132" s="8"/>
      <c r="BF132" s="9"/>
      <c r="BG132" s="4"/>
      <c r="BH132" s="46">
        <f t="shared" si="14"/>
        <v>37</v>
      </c>
      <c r="BI132" s="47">
        <f t="shared" si="15"/>
        <v>11.1</v>
      </c>
    </row>
    <row r="133" spans="1:61" x14ac:dyDescent="0.25">
      <c r="A133" s="42" t="s">
        <v>180</v>
      </c>
      <c r="B133" s="43">
        <v>9</v>
      </c>
      <c r="C133" s="42" t="s">
        <v>64</v>
      </c>
      <c r="D133" t="s">
        <v>61</v>
      </c>
      <c r="E133" s="6"/>
      <c r="F133" s="7"/>
      <c r="G133" s="8"/>
      <c r="H133" s="9"/>
      <c r="J133" s="10"/>
      <c r="K133" s="11"/>
      <c r="L133" s="12"/>
      <c r="M133" s="13"/>
      <c r="O133" s="6"/>
      <c r="P133" s="7"/>
      <c r="Q133" s="8"/>
      <c r="R133" s="9">
        <v>2</v>
      </c>
      <c r="T133" s="10"/>
      <c r="U133" s="11"/>
      <c r="V133" s="12"/>
      <c r="W133" s="13"/>
      <c r="Y133" s="6"/>
      <c r="Z133" s="7"/>
      <c r="AA133" s="8"/>
      <c r="AB133" s="9">
        <v>1</v>
      </c>
      <c r="AD133" s="10"/>
      <c r="AE133" s="11"/>
      <c r="AF133" s="12"/>
      <c r="AG133" s="13"/>
      <c r="AI133" s="6"/>
      <c r="AJ133" s="7"/>
      <c r="AK133" s="8"/>
      <c r="AL133" s="9"/>
      <c r="AN133" s="10"/>
      <c r="AO133" s="11"/>
      <c r="AP133" s="12"/>
      <c r="AQ133" s="13"/>
      <c r="AS133" s="6"/>
      <c r="AT133" s="7"/>
      <c r="AU133" s="8"/>
      <c r="AV133" s="9"/>
      <c r="AX133" s="10"/>
      <c r="AY133" s="11"/>
      <c r="AZ133" s="12"/>
      <c r="BA133" s="13"/>
      <c r="BC133" s="6"/>
      <c r="BD133" s="7"/>
      <c r="BE133" s="8"/>
      <c r="BF133" s="9"/>
      <c r="BG133" s="4"/>
      <c r="BH133" s="46">
        <f t="shared" si="14"/>
        <v>3</v>
      </c>
      <c r="BI133" s="47">
        <f t="shared" si="15"/>
        <v>0.89999999999999991</v>
      </c>
    </row>
    <row r="134" spans="1:61" x14ac:dyDescent="0.25">
      <c r="A134" s="42" t="s">
        <v>374</v>
      </c>
      <c r="B134" s="43">
        <v>9</v>
      </c>
      <c r="C134" s="42" t="s">
        <v>64</v>
      </c>
      <c r="D134" t="s">
        <v>61</v>
      </c>
      <c r="E134" s="6"/>
      <c r="F134" s="7"/>
      <c r="G134" s="8"/>
      <c r="H134" s="9"/>
      <c r="J134" s="10"/>
      <c r="K134" s="11"/>
      <c r="L134" s="12"/>
      <c r="M134" s="13"/>
      <c r="O134" s="6"/>
      <c r="P134" s="7"/>
      <c r="Q134" s="8"/>
      <c r="R134" s="9"/>
      <c r="T134" s="10"/>
      <c r="U134" s="11"/>
      <c r="V134" s="12"/>
      <c r="W134" s="13"/>
      <c r="Y134" s="6"/>
      <c r="Z134" s="7"/>
      <c r="AA134" s="8"/>
      <c r="AB134" s="9">
        <v>1</v>
      </c>
      <c r="AD134" s="10"/>
      <c r="AE134" s="11"/>
      <c r="AF134" s="12"/>
      <c r="AG134" s="13"/>
      <c r="AI134" s="6"/>
      <c r="AJ134" s="7"/>
      <c r="AK134" s="8"/>
      <c r="AL134" s="9"/>
      <c r="AN134" s="10"/>
      <c r="AO134" s="11"/>
      <c r="AP134" s="12"/>
      <c r="AQ134" s="13"/>
      <c r="AS134" s="6"/>
      <c r="AT134" s="7"/>
      <c r="AU134" s="8"/>
      <c r="AV134" s="9"/>
      <c r="AX134" s="10"/>
      <c r="AY134" s="11"/>
      <c r="AZ134" s="12"/>
      <c r="BA134" s="13"/>
      <c r="BC134" s="6"/>
      <c r="BD134" s="7"/>
      <c r="BE134" s="8"/>
      <c r="BF134" s="9"/>
      <c r="BG134" s="4"/>
      <c r="BH134" s="46">
        <f t="shared" si="14"/>
        <v>1</v>
      </c>
      <c r="BI134" s="47">
        <f>(SUM(E134:BG134)*$D$2)</f>
        <v>0.3</v>
      </c>
    </row>
    <row r="135" spans="1:61" x14ac:dyDescent="0.25">
      <c r="A135" s="42" t="s">
        <v>233</v>
      </c>
      <c r="B135" s="43">
        <v>9</v>
      </c>
      <c r="C135" s="42" t="s">
        <v>64</v>
      </c>
      <c r="E135" s="6"/>
      <c r="F135" s="7"/>
      <c r="G135" s="8"/>
      <c r="H135" s="9"/>
      <c r="J135" s="10"/>
      <c r="K135" s="11"/>
      <c r="L135" s="12"/>
      <c r="M135" s="13"/>
      <c r="O135" s="6"/>
      <c r="P135" s="7"/>
      <c r="Q135" s="8"/>
      <c r="R135" s="9"/>
      <c r="T135" s="10"/>
      <c r="U135" s="11"/>
      <c r="V135" s="12"/>
      <c r="W135" s="13"/>
      <c r="Y135" s="6"/>
      <c r="Z135" s="7"/>
      <c r="AA135" s="8"/>
      <c r="AB135" s="9"/>
      <c r="AD135" s="10"/>
      <c r="AE135" s="11"/>
      <c r="AF135" s="12"/>
      <c r="AG135" s="13"/>
      <c r="AI135" s="6"/>
      <c r="AJ135" s="7"/>
      <c r="AK135" s="8"/>
      <c r="AL135" s="9"/>
      <c r="AN135" s="10"/>
      <c r="AO135" s="11"/>
      <c r="AP135" s="12"/>
      <c r="AQ135" s="13"/>
      <c r="AS135" s="6"/>
      <c r="AT135" s="7"/>
      <c r="AU135" s="8"/>
      <c r="AV135" s="9"/>
      <c r="AX135" s="10"/>
      <c r="AY135" s="11"/>
      <c r="AZ135" s="12"/>
      <c r="BA135" s="13"/>
      <c r="BC135" s="6"/>
      <c r="BD135" s="7"/>
      <c r="BE135" s="8"/>
      <c r="BF135" s="9"/>
      <c r="BG135" s="4"/>
      <c r="BH135" s="46">
        <f t="shared" si="14"/>
        <v>0</v>
      </c>
      <c r="BI135" s="47">
        <f>(SUM(E135:BG135)*$D$2)</f>
        <v>0</v>
      </c>
    </row>
    <row r="136" spans="1:61" x14ac:dyDescent="0.25">
      <c r="A136" s="42" t="s">
        <v>178</v>
      </c>
      <c r="B136" s="43">
        <v>8</v>
      </c>
      <c r="C136" s="42" t="s">
        <v>64</v>
      </c>
      <c r="D136" t="s">
        <v>57</v>
      </c>
      <c r="E136" s="6"/>
      <c r="F136" s="7"/>
      <c r="G136" s="8"/>
      <c r="H136" s="9"/>
      <c r="J136" s="10"/>
      <c r="K136" s="11"/>
      <c r="L136" s="12"/>
      <c r="M136" s="13"/>
      <c r="O136" s="6"/>
      <c r="P136" s="7"/>
      <c r="Q136" s="8"/>
      <c r="R136" s="9">
        <v>1</v>
      </c>
      <c r="T136" s="10"/>
      <c r="U136" s="11"/>
      <c r="V136" s="12"/>
      <c r="W136" s="13">
        <v>5</v>
      </c>
      <c r="Y136" s="6"/>
      <c r="Z136" s="7"/>
      <c r="AA136" s="8"/>
      <c r="AB136" s="9"/>
      <c r="AD136" s="10"/>
      <c r="AE136" s="11"/>
      <c r="AF136" s="12"/>
      <c r="AG136" s="13">
        <v>9</v>
      </c>
      <c r="AI136" s="6"/>
      <c r="AJ136" s="7"/>
      <c r="AK136" s="8"/>
      <c r="AL136" s="9"/>
      <c r="AN136" s="10"/>
      <c r="AO136" s="11"/>
      <c r="AP136" s="12"/>
      <c r="AQ136" s="13"/>
      <c r="AS136" s="6"/>
      <c r="AT136" s="7"/>
      <c r="AU136" s="8"/>
      <c r="AV136" s="9"/>
      <c r="AX136" s="10"/>
      <c r="AY136" s="11"/>
      <c r="AZ136" s="12"/>
      <c r="BA136" s="13"/>
      <c r="BC136" s="6"/>
      <c r="BD136" s="7"/>
      <c r="BE136" s="8"/>
      <c r="BF136" s="9"/>
      <c r="BG136" s="4"/>
      <c r="BH136" s="46">
        <f t="shared" si="14"/>
        <v>15</v>
      </c>
      <c r="BI136" s="47">
        <f t="shared" si="15"/>
        <v>4.5</v>
      </c>
    </row>
    <row r="137" spans="1:61" x14ac:dyDescent="0.25">
      <c r="A137" s="42" t="s">
        <v>177</v>
      </c>
      <c r="B137" s="43">
        <v>8</v>
      </c>
      <c r="C137" s="42" t="s">
        <v>64</v>
      </c>
      <c r="D137" t="s">
        <v>48</v>
      </c>
      <c r="E137" s="6"/>
      <c r="F137" s="7"/>
      <c r="G137" s="8"/>
      <c r="H137" s="9"/>
      <c r="J137" s="10"/>
      <c r="K137" s="11"/>
      <c r="L137" s="12">
        <v>1</v>
      </c>
      <c r="M137" s="13">
        <v>2</v>
      </c>
      <c r="O137" s="6"/>
      <c r="P137" s="7"/>
      <c r="Q137" s="8"/>
      <c r="R137" s="9">
        <v>3</v>
      </c>
      <c r="T137" s="10"/>
      <c r="U137" s="11"/>
      <c r="V137" s="12"/>
      <c r="W137" s="13">
        <v>4</v>
      </c>
      <c r="Y137" s="6"/>
      <c r="Z137" s="7"/>
      <c r="AA137" s="8">
        <v>2</v>
      </c>
      <c r="AB137" s="9">
        <v>3</v>
      </c>
      <c r="AD137" s="10"/>
      <c r="AE137" s="11"/>
      <c r="AF137" s="12"/>
      <c r="AG137" s="13">
        <v>3</v>
      </c>
      <c r="AI137" s="6"/>
      <c r="AJ137" s="7"/>
      <c r="AK137" s="8"/>
      <c r="AL137" s="9"/>
      <c r="AN137" s="10"/>
      <c r="AO137" s="11"/>
      <c r="AP137" s="12"/>
      <c r="AQ137" s="13"/>
      <c r="AS137" s="6"/>
      <c r="AT137" s="7"/>
      <c r="AU137" s="8"/>
      <c r="AV137" s="9"/>
      <c r="AX137" s="10"/>
      <c r="AY137" s="11"/>
      <c r="AZ137" s="12"/>
      <c r="BA137" s="13"/>
      <c r="BC137" s="6"/>
      <c r="BD137" s="7"/>
      <c r="BE137" s="8"/>
      <c r="BF137" s="9"/>
      <c r="BG137" s="4"/>
      <c r="BH137" s="46">
        <f t="shared" si="14"/>
        <v>18</v>
      </c>
      <c r="BI137" s="47">
        <f t="shared" si="15"/>
        <v>5.3999999999999995</v>
      </c>
    </row>
    <row r="138" spans="1:61" x14ac:dyDescent="0.25">
      <c r="A138" s="42" t="s">
        <v>176</v>
      </c>
      <c r="B138" s="43">
        <v>9</v>
      </c>
      <c r="C138" s="42" t="s">
        <v>64</v>
      </c>
      <c r="D138" t="s">
        <v>48</v>
      </c>
      <c r="E138" s="6"/>
      <c r="F138" s="7"/>
      <c r="G138" s="8"/>
      <c r="H138" s="9"/>
      <c r="J138" s="10"/>
      <c r="K138" s="11"/>
      <c r="L138" s="12"/>
      <c r="M138" s="13"/>
      <c r="O138" s="6"/>
      <c r="P138" s="7"/>
      <c r="Q138" s="8"/>
      <c r="R138" s="9">
        <v>1</v>
      </c>
      <c r="T138" s="10"/>
      <c r="U138" s="11"/>
      <c r="V138" s="12"/>
      <c r="W138" s="13"/>
      <c r="Y138" s="6"/>
      <c r="Z138" s="7"/>
      <c r="AA138" s="8"/>
      <c r="AB138" s="9">
        <v>1</v>
      </c>
      <c r="AD138" s="10"/>
      <c r="AE138" s="11"/>
      <c r="AF138" s="12"/>
      <c r="AG138" s="13"/>
      <c r="AI138" s="6"/>
      <c r="AJ138" s="7"/>
      <c r="AK138" s="8"/>
      <c r="AL138" s="9"/>
      <c r="AN138" s="10"/>
      <c r="AO138" s="11"/>
      <c r="AP138" s="12"/>
      <c r="AQ138" s="13"/>
      <c r="AS138" s="6"/>
      <c r="AT138" s="7"/>
      <c r="AU138" s="8"/>
      <c r="AV138" s="9"/>
      <c r="AX138" s="10"/>
      <c r="AY138" s="11"/>
      <c r="AZ138" s="12"/>
      <c r="BA138" s="13"/>
      <c r="BC138" s="6"/>
      <c r="BD138" s="7"/>
      <c r="BE138" s="8"/>
      <c r="BF138" s="9"/>
      <c r="BG138" s="4"/>
      <c r="BH138" s="46">
        <f t="shared" si="14"/>
        <v>2</v>
      </c>
      <c r="BI138" s="47">
        <f t="shared" si="15"/>
        <v>0.6</v>
      </c>
    </row>
    <row r="139" spans="1:61" x14ac:dyDescent="0.25">
      <c r="A139" s="42" t="s">
        <v>175</v>
      </c>
      <c r="B139" s="43">
        <v>1</v>
      </c>
      <c r="C139" s="42" t="s">
        <v>64</v>
      </c>
      <c r="D139" t="s">
        <v>62</v>
      </c>
      <c r="E139" s="6"/>
      <c r="F139" s="7">
        <v>3</v>
      </c>
      <c r="G139" s="8"/>
      <c r="H139" s="9"/>
      <c r="J139" s="10"/>
      <c r="K139" s="11"/>
      <c r="L139" s="12"/>
      <c r="M139" s="13"/>
      <c r="O139" s="6"/>
      <c r="P139" s="7"/>
      <c r="Q139" s="8"/>
      <c r="R139" s="9">
        <v>1</v>
      </c>
      <c r="T139" s="10"/>
      <c r="U139" s="11"/>
      <c r="V139" s="12"/>
      <c r="W139" s="13">
        <v>1</v>
      </c>
      <c r="Y139" s="6"/>
      <c r="Z139" s="7"/>
      <c r="AA139" s="8"/>
      <c r="AB139" s="9"/>
      <c r="AD139" s="10"/>
      <c r="AE139" s="11"/>
      <c r="AF139" s="12">
        <v>2</v>
      </c>
      <c r="AG139" s="13">
        <v>1</v>
      </c>
      <c r="AI139" s="6"/>
      <c r="AJ139" s="7"/>
      <c r="AK139" s="8"/>
      <c r="AL139" s="9"/>
      <c r="AN139" s="10"/>
      <c r="AO139" s="11"/>
      <c r="AP139" s="12"/>
      <c r="AQ139" s="13"/>
      <c r="AS139" s="6"/>
      <c r="AT139" s="7"/>
      <c r="AU139" s="8"/>
      <c r="AV139" s="9"/>
      <c r="AX139" s="10"/>
      <c r="AY139" s="11"/>
      <c r="AZ139" s="12"/>
      <c r="BA139" s="13"/>
      <c r="BC139" s="6"/>
      <c r="BD139" s="7"/>
      <c r="BE139" s="8"/>
      <c r="BF139" s="9"/>
      <c r="BG139" s="4"/>
      <c r="BH139" s="46">
        <f t="shared" ref="BH139:BH141" si="22">SUM(E139:BF139)</f>
        <v>8</v>
      </c>
      <c r="BI139" s="47">
        <f t="shared" ref="BI139:BI141" si="23">(SUM(E139:BG139)*$D$2)</f>
        <v>2.4</v>
      </c>
    </row>
    <row r="140" spans="1:61" x14ac:dyDescent="0.25">
      <c r="A140" s="42" t="s">
        <v>379</v>
      </c>
      <c r="B140" s="43">
        <v>1</v>
      </c>
      <c r="C140" s="42" t="s">
        <v>64</v>
      </c>
      <c r="D140" t="s">
        <v>62</v>
      </c>
      <c r="E140" s="6"/>
      <c r="F140" s="7">
        <v>1</v>
      </c>
      <c r="G140" s="8">
        <v>1</v>
      </c>
      <c r="H140" s="9"/>
      <c r="J140" s="10"/>
      <c r="K140" s="11"/>
      <c r="L140" s="12"/>
      <c r="M140" s="13"/>
      <c r="O140" s="6"/>
      <c r="P140" s="7"/>
      <c r="Q140" s="8"/>
      <c r="R140" s="9"/>
      <c r="T140" s="10"/>
      <c r="U140" s="11"/>
      <c r="V140" s="12"/>
      <c r="W140" s="13"/>
      <c r="Y140" s="6"/>
      <c r="Z140" s="7"/>
      <c r="AA140" s="8">
        <v>1</v>
      </c>
      <c r="AB140" s="9"/>
      <c r="AD140" s="10"/>
      <c r="AE140" s="11"/>
      <c r="AF140" s="12"/>
      <c r="AG140" s="13"/>
      <c r="AI140" s="6"/>
      <c r="AJ140" s="7"/>
      <c r="AK140" s="8"/>
      <c r="AL140" s="9"/>
      <c r="AN140" s="10"/>
      <c r="AO140" s="11"/>
      <c r="AP140" s="12"/>
      <c r="AQ140" s="13"/>
      <c r="AS140" s="6"/>
      <c r="AT140" s="7"/>
      <c r="AU140" s="8"/>
      <c r="AV140" s="9"/>
      <c r="AX140" s="10"/>
      <c r="AY140" s="11"/>
      <c r="AZ140" s="12"/>
      <c r="BA140" s="13"/>
      <c r="BC140" s="6"/>
      <c r="BD140" s="7"/>
      <c r="BE140" s="8"/>
      <c r="BF140" s="9"/>
      <c r="BG140" s="4"/>
      <c r="BH140" s="46">
        <f t="shared" si="22"/>
        <v>3</v>
      </c>
      <c r="BI140" s="47">
        <f t="shared" si="23"/>
        <v>0.89999999999999991</v>
      </c>
    </row>
    <row r="141" spans="1:61" x14ac:dyDescent="0.25">
      <c r="A141" s="42" t="s">
        <v>380</v>
      </c>
      <c r="B141" s="43">
        <v>1</v>
      </c>
      <c r="C141" s="42" t="s">
        <v>64</v>
      </c>
      <c r="D141" t="s">
        <v>62</v>
      </c>
      <c r="E141" s="6">
        <v>1</v>
      </c>
      <c r="F141" s="7">
        <v>1</v>
      </c>
      <c r="G141" s="8">
        <v>1</v>
      </c>
      <c r="H141" s="9"/>
      <c r="J141" s="10"/>
      <c r="K141" s="11"/>
      <c r="L141" s="12"/>
      <c r="M141" s="13"/>
      <c r="O141" s="6"/>
      <c r="P141" s="7"/>
      <c r="Q141" s="8"/>
      <c r="R141" s="9">
        <v>2</v>
      </c>
      <c r="T141" s="10"/>
      <c r="U141" s="11"/>
      <c r="V141" s="12"/>
      <c r="W141" s="13">
        <v>2</v>
      </c>
      <c r="Y141" s="6">
        <v>2</v>
      </c>
      <c r="Z141" s="7">
        <v>3</v>
      </c>
      <c r="AA141" s="8"/>
      <c r="AB141" s="9">
        <v>3</v>
      </c>
      <c r="AD141" s="10">
        <v>2</v>
      </c>
      <c r="AE141" s="11"/>
      <c r="AF141" s="12">
        <v>3</v>
      </c>
      <c r="AG141" s="13">
        <v>1</v>
      </c>
      <c r="AI141" s="6">
        <v>1</v>
      </c>
      <c r="AJ141" s="7">
        <v>1</v>
      </c>
      <c r="AK141" s="8"/>
      <c r="AL141" s="9"/>
      <c r="AN141" s="10"/>
      <c r="AO141" s="11"/>
      <c r="AP141" s="12"/>
      <c r="AQ141" s="13"/>
      <c r="AS141" s="6"/>
      <c r="AT141" s="7"/>
      <c r="AU141" s="8"/>
      <c r="AV141" s="9"/>
      <c r="AX141" s="10"/>
      <c r="AY141" s="11"/>
      <c r="AZ141" s="12"/>
      <c r="BA141" s="13"/>
      <c r="BC141" s="6"/>
      <c r="BD141" s="7"/>
      <c r="BE141" s="8"/>
      <c r="BF141" s="9"/>
      <c r="BG141" s="4"/>
      <c r="BH141" s="46">
        <f t="shared" si="22"/>
        <v>23</v>
      </c>
      <c r="BI141" s="47">
        <f t="shared" si="23"/>
        <v>6.8999999999999995</v>
      </c>
    </row>
    <row r="142" spans="1:61" x14ac:dyDescent="0.25">
      <c r="A142" s="42" t="s">
        <v>174</v>
      </c>
      <c r="B142" s="42" t="s">
        <v>53</v>
      </c>
      <c r="C142" s="42" t="s">
        <v>64</v>
      </c>
      <c r="D142" t="s">
        <v>54</v>
      </c>
      <c r="E142" s="6"/>
      <c r="F142" s="7">
        <v>4</v>
      </c>
      <c r="G142" s="8"/>
      <c r="H142" s="9"/>
      <c r="J142" s="10"/>
      <c r="K142" s="11"/>
      <c r="L142" s="12"/>
      <c r="M142" s="13"/>
      <c r="O142" s="6"/>
      <c r="P142" s="7"/>
      <c r="Q142" s="8"/>
      <c r="R142" s="9"/>
      <c r="T142" s="10"/>
      <c r="U142" s="11"/>
      <c r="V142" s="12"/>
      <c r="W142" s="13">
        <v>3</v>
      </c>
      <c r="Y142" s="6"/>
      <c r="Z142" s="7"/>
      <c r="AA142" s="8"/>
      <c r="AB142" s="9">
        <v>3</v>
      </c>
      <c r="AD142" s="10">
        <v>1</v>
      </c>
      <c r="AE142" s="11"/>
      <c r="AF142" s="12">
        <v>3</v>
      </c>
      <c r="AG142" s="13">
        <v>2</v>
      </c>
      <c r="AI142" s="6">
        <v>2</v>
      </c>
      <c r="AJ142" s="7"/>
      <c r="AK142" s="8"/>
      <c r="AL142" s="9"/>
      <c r="AN142" s="10"/>
      <c r="AO142" s="11"/>
      <c r="AP142" s="12"/>
      <c r="AQ142" s="13"/>
      <c r="AS142" s="6"/>
      <c r="AT142" s="7"/>
      <c r="AU142" s="8"/>
      <c r="AV142" s="9"/>
      <c r="AX142" s="10"/>
      <c r="AY142" s="11"/>
      <c r="AZ142" s="12"/>
      <c r="BA142" s="13"/>
      <c r="BC142" s="6"/>
      <c r="BD142" s="7"/>
      <c r="BE142" s="8"/>
      <c r="BF142" s="9"/>
      <c r="BG142" s="4"/>
      <c r="BH142" s="46">
        <f t="shared" ref="BH142" si="24">SUM(E142:BF142)</f>
        <v>18</v>
      </c>
      <c r="BI142" s="47">
        <f t="shared" ref="BI142" si="25">(SUM(E142:BG142)*$D$2)</f>
        <v>5.3999999999999995</v>
      </c>
    </row>
    <row r="143" spans="1:61" x14ac:dyDescent="0.25">
      <c r="A143" s="42" t="s">
        <v>375</v>
      </c>
      <c r="B143" s="42" t="s">
        <v>53</v>
      </c>
      <c r="C143" s="42" t="s">
        <v>64</v>
      </c>
      <c r="D143" t="s">
        <v>54</v>
      </c>
      <c r="E143" s="6"/>
      <c r="F143" s="7">
        <v>2</v>
      </c>
      <c r="G143" s="8"/>
      <c r="H143" s="9"/>
      <c r="J143" s="10"/>
      <c r="K143" s="11"/>
      <c r="L143" s="12"/>
      <c r="M143" s="13"/>
      <c r="O143" s="6"/>
      <c r="P143" s="7"/>
      <c r="Q143" s="8">
        <v>2</v>
      </c>
      <c r="R143" s="9"/>
      <c r="T143" s="10"/>
      <c r="U143" s="11">
        <v>1</v>
      </c>
      <c r="V143" s="12"/>
      <c r="W143" s="13">
        <v>3</v>
      </c>
      <c r="Y143" s="6"/>
      <c r="Z143" s="7">
        <v>1</v>
      </c>
      <c r="AA143" s="8"/>
      <c r="AB143" s="9">
        <v>1</v>
      </c>
      <c r="AD143" s="10"/>
      <c r="AE143" s="11"/>
      <c r="AF143" s="12"/>
      <c r="AG143" s="13">
        <v>4</v>
      </c>
      <c r="AI143" s="6"/>
      <c r="AJ143" s="7"/>
      <c r="AK143" s="8"/>
      <c r="AL143" s="9"/>
      <c r="AN143" s="10"/>
      <c r="AO143" s="11"/>
      <c r="AP143" s="12"/>
      <c r="AQ143" s="13"/>
      <c r="AS143" s="6"/>
      <c r="AT143" s="7"/>
      <c r="AU143" s="8"/>
      <c r="AV143" s="9"/>
      <c r="AX143" s="10"/>
      <c r="AY143" s="11"/>
      <c r="AZ143" s="12"/>
      <c r="BA143" s="13"/>
      <c r="BC143" s="6"/>
      <c r="BD143" s="7"/>
      <c r="BE143" s="8"/>
      <c r="BF143" s="9"/>
      <c r="BG143" s="4"/>
      <c r="BH143" s="46">
        <f t="shared" si="14"/>
        <v>14</v>
      </c>
      <c r="BI143" s="47">
        <f t="shared" si="15"/>
        <v>4.2</v>
      </c>
    </row>
    <row r="144" spans="1:61" x14ac:dyDescent="0.25">
      <c r="A144" s="42" t="s">
        <v>376</v>
      </c>
      <c r="B144" s="42" t="s">
        <v>53</v>
      </c>
      <c r="C144" s="42" t="s">
        <v>64</v>
      </c>
      <c r="D144" t="s">
        <v>54</v>
      </c>
      <c r="E144" s="6"/>
      <c r="F144" s="7">
        <v>3</v>
      </c>
      <c r="G144" s="8"/>
      <c r="H144" s="9"/>
      <c r="J144" s="10"/>
      <c r="K144" s="11"/>
      <c r="L144" s="12"/>
      <c r="M144" s="13"/>
      <c r="O144" s="6"/>
      <c r="P144" s="7"/>
      <c r="Q144" s="8"/>
      <c r="R144" s="9">
        <v>5</v>
      </c>
      <c r="T144" s="10"/>
      <c r="U144" s="11"/>
      <c r="V144" s="12"/>
      <c r="W144" s="13">
        <v>6</v>
      </c>
      <c r="Y144" s="6"/>
      <c r="Z144" s="7">
        <v>2</v>
      </c>
      <c r="AA144" s="8">
        <v>2</v>
      </c>
      <c r="AB144" s="9">
        <v>4</v>
      </c>
      <c r="AD144" s="10">
        <v>1</v>
      </c>
      <c r="AE144" s="11"/>
      <c r="AF144" s="12"/>
      <c r="AG144" s="13">
        <v>2</v>
      </c>
      <c r="AI144" s="6">
        <v>1</v>
      </c>
      <c r="AJ144" s="7"/>
      <c r="AK144" s="8"/>
      <c r="AL144" s="9"/>
      <c r="AN144" s="10"/>
      <c r="AO144" s="11"/>
      <c r="AP144" s="12"/>
      <c r="AQ144" s="13"/>
      <c r="AS144" s="6"/>
      <c r="AT144" s="7"/>
      <c r="AU144" s="8"/>
      <c r="AV144" s="9"/>
      <c r="AX144" s="10"/>
      <c r="AY144" s="11"/>
      <c r="AZ144" s="12"/>
      <c r="BA144" s="13"/>
      <c r="BC144" s="6"/>
      <c r="BD144" s="7"/>
      <c r="BE144" s="8"/>
      <c r="BF144" s="9"/>
      <c r="BG144" s="4"/>
      <c r="BH144" s="46">
        <f t="shared" si="14"/>
        <v>26</v>
      </c>
      <c r="BI144" s="47">
        <f t="shared" si="15"/>
        <v>7.8</v>
      </c>
    </row>
    <row r="145" spans="1:61" x14ac:dyDescent="0.25">
      <c r="A145" s="42" t="s">
        <v>349</v>
      </c>
      <c r="B145" s="42">
        <v>1</v>
      </c>
      <c r="C145" s="42" t="s">
        <v>64</v>
      </c>
      <c r="D145" s="50" t="s">
        <v>62</v>
      </c>
      <c r="E145" s="6"/>
      <c r="F145" s="7">
        <v>1</v>
      </c>
      <c r="G145" s="8">
        <v>1</v>
      </c>
      <c r="H145" s="9"/>
      <c r="J145" s="10"/>
      <c r="K145" s="11"/>
      <c r="L145" s="12"/>
      <c r="M145" s="13"/>
      <c r="O145" s="6"/>
      <c r="P145" s="7"/>
      <c r="Q145" s="8"/>
      <c r="R145" s="9">
        <v>1</v>
      </c>
      <c r="T145" s="10"/>
      <c r="U145" s="11"/>
      <c r="V145" s="12"/>
      <c r="W145" s="13">
        <v>1</v>
      </c>
      <c r="Y145" s="6"/>
      <c r="Z145" s="7"/>
      <c r="AA145" s="8"/>
      <c r="AB145" s="9"/>
      <c r="AD145" s="10"/>
      <c r="AE145" s="11"/>
      <c r="AF145" s="12"/>
      <c r="AG145" s="13"/>
      <c r="AI145" s="6"/>
      <c r="AJ145" s="7"/>
      <c r="AK145" s="8"/>
      <c r="AL145" s="9"/>
      <c r="AN145" s="10"/>
      <c r="AO145" s="11"/>
      <c r="AP145" s="12"/>
      <c r="AQ145" s="13"/>
      <c r="AS145" s="6"/>
      <c r="AT145" s="7"/>
      <c r="AU145" s="8"/>
      <c r="AV145" s="9"/>
      <c r="AX145" s="10"/>
      <c r="AY145" s="11"/>
      <c r="AZ145" s="12"/>
      <c r="BA145" s="13"/>
      <c r="BC145" s="6"/>
      <c r="BD145" s="7"/>
      <c r="BE145" s="8"/>
      <c r="BF145" s="9"/>
      <c r="BG145" s="4"/>
      <c r="BH145" s="46">
        <f t="shared" si="14"/>
        <v>4</v>
      </c>
      <c r="BI145" s="47">
        <f t="shared" si="15"/>
        <v>1.2</v>
      </c>
    </row>
    <row r="146" spans="1:61" x14ac:dyDescent="0.25">
      <c r="A146" s="42" t="s">
        <v>382</v>
      </c>
      <c r="B146" s="42" t="s">
        <v>53</v>
      </c>
      <c r="C146" s="42" t="s">
        <v>64</v>
      </c>
      <c r="E146" s="6"/>
      <c r="F146" s="7"/>
      <c r="G146" s="8"/>
      <c r="H146" s="9"/>
      <c r="J146" s="10"/>
      <c r="K146" s="11"/>
      <c r="L146" s="12"/>
      <c r="M146" s="13"/>
      <c r="O146" s="6"/>
      <c r="P146" s="7"/>
      <c r="Q146" s="8"/>
      <c r="R146" s="9"/>
      <c r="T146" s="10"/>
      <c r="U146" s="11"/>
      <c r="V146" s="12"/>
      <c r="W146" s="13"/>
      <c r="Y146" s="6"/>
      <c r="Z146" s="7"/>
      <c r="AA146" s="8"/>
      <c r="AB146" s="9"/>
      <c r="AD146" s="10"/>
      <c r="AE146" s="11"/>
      <c r="AF146" s="12"/>
      <c r="AG146" s="13"/>
      <c r="AI146" s="6"/>
      <c r="AJ146" s="7"/>
      <c r="AK146" s="8"/>
      <c r="AL146" s="9"/>
      <c r="AN146" s="10"/>
      <c r="AO146" s="11"/>
      <c r="AP146" s="12"/>
      <c r="AQ146" s="13"/>
      <c r="AS146" s="6"/>
      <c r="AT146" s="7"/>
      <c r="AU146" s="8"/>
      <c r="AV146" s="9"/>
      <c r="AX146" s="10"/>
      <c r="AY146" s="11"/>
      <c r="AZ146" s="12"/>
      <c r="BA146" s="13"/>
      <c r="BC146" s="6"/>
      <c r="BD146" s="7"/>
      <c r="BE146" s="8"/>
      <c r="BF146" s="9"/>
      <c r="BG146" s="4"/>
      <c r="BH146" s="46">
        <f t="shared" si="14"/>
        <v>0</v>
      </c>
      <c r="BI146" s="47">
        <f t="shared" si="15"/>
        <v>0</v>
      </c>
    </row>
    <row r="147" spans="1:61" x14ac:dyDescent="0.25">
      <c r="A147" s="42" t="s">
        <v>346</v>
      </c>
      <c r="B147" s="42"/>
      <c r="C147" s="42" t="s">
        <v>64</v>
      </c>
      <c r="E147" s="6"/>
      <c r="F147" s="7">
        <v>2</v>
      </c>
      <c r="G147" s="8"/>
      <c r="H147" s="9"/>
      <c r="J147" s="10"/>
      <c r="K147" s="11"/>
      <c r="L147" s="12"/>
      <c r="M147" s="13"/>
      <c r="O147" s="6"/>
      <c r="P147" s="7"/>
      <c r="Q147" s="8"/>
      <c r="R147" s="9">
        <v>3</v>
      </c>
      <c r="T147" s="10"/>
      <c r="U147" s="11"/>
      <c r="V147" s="12"/>
      <c r="W147" s="13">
        <v>3</v>
      </c>
      <c r="Y147" s="6"/>
      <c r="Z147" s="7"/>
      <c r="AA147" s="8"/>
      <c r="AB147" s="9">
        <v>3</v>
      </c>
      <c r="AD147" s="10"/>
      <c r="AE147" s="11"/>
      <c r="AF147" s="12">
        <v>3</v>
      </c>
      <c r="AG147" s="13">
        <v>2</v>
      </c>
      <c r="AI147" s="6"/>
      <c r="AJ147" s="7"/>
      <c r="AK147" s="8"/>
      <c r="AL147" s="9"/>
      <c r="AN147" s="10"/>
      <c r="AO147" s="11"/>
      <c r="AP147" s="12"/>
      <c r="AQ147" s="13"/>
      <c r="AS147" s="6"/>
      <c r="AT147" s="7"/>
      <c r="AU147" s="8"/>
      <c r="AV147" s="9"/>
      <c r="AX147" s="10"/>
      <c r="AY147" s="11"/>
      <c r="AZ147" s="12"/>
      <c r="BA147" s="13"/>
      <c r="BC147" s="6"/>
      <c r="BD147" s="7"/>
      <c r="BE147" s="8"/>
      <c r="BF147" s="9"/>
      <c r="BG147" s="4"/>
      <c r="BH147" s="46">
        <f t="shared" si="14"/>
        <v>16</v>
      </c>
      <c r="BI147" s="47">
        <f t="shared" si="15"/>
        <v>4.8</v>
      </c>
    </row>
    <row r="148" spans="1:61" x14ac:dyDescent="0.25">
      <c r="A148" s="42" t="s">
        <v>418</v>
      </c>
      <c r="B148" s="42">
        <v>5</v>
      </c>
      <c r="C148" s="42" t="s">
        <v>64</v>
      </c>
      <c r="E148" s="6"/>
      <c r="F148" s="7"/>
      <c r="G148" s="8"/>
      <c r="H148" s="9"/>
      <c r="J148" s="10"/>
      <c r="K148" s="11"/>
      <c r="L148" s="12"/>
      <c r="M148" s="13">
        <v>1</v>
      </c>
      <c r="O148" s="6">
        <v>5</v>
      </c>
      <c r="P148" s="7">
        <v>2</v>
      </c>
      <c r="Q148" s="8"/>
      <c r="R148" s="9">
        <v>3</v>
      </c>
      <c r="T148" s="10"/>
      <c r="U148" s="11"/>
      <c r="V148" s="12"/>
      <c r="W148" s="13"/>
      <c r="Y148" s="6"/>
      <c r="Z148" s="7"/>
      <c r="AA148" s="8"/>
      <c r="AB148" s="9">
        <v>2</v>
      </c>
      <c r="AD148" s="10"/>
      <c r="AE148" s="11"/>
      <c r="AF148" s="12"/>
      <c r="AG148" s="13">
        <v>5</v>
      </c>
      <c r="AI148" s="6">
        <v>1</v>
      </c>
      <c r="AJ148" s="7">
        <v>2</v>
      </c>
      <c r="AK148" s="8"/>
      <c r="AL148" s="9"/>
      <c r="AN148" s="10"/>
      <c r="AO148" s="11"/>
      <c r="AP148" s="12"/>
      <c r="AQ148" s="13"/>
      <c r="AS148" s="6"/>
      <c r="AT148" s="7"/>
      <c r="AU148" s="8"/>
      <c r="AV148" s="9"/>
      <c r="AX148" s="10"/>
      <c r="AY148" s="11"/>
      <c r="AZ148" s="12"/>
      <c r="BA148" s="13"/>
      <c r="BC148" s="6"/>
      <c r="BD148" s="7"/>
      <c r="BE148" s="8"/>
      <c r="BF148" s="9"/>
      <c r="BG148" s="4"/>
      <c r="BH148" s="46">
        <f t="shared" si="14"/>
        <v>21</v>
      </c>
      <c r="BI148" s="47">
        <f t="shared" si="15"/>
        <v>6.3</v>
      </c>
    </row>
    <row r="149" spans="1:61" x14ac:dyDescent="0.25">
      <c r="A149" s="42" t="s">
        <v>350</v>
      </c>
      <c r="B149" s="42">
        <v>3</v>
      </c>
      <c r="C149" s="42" t="s">
        <v>64</v>
      </c>
      <c r="D149" t="s">
        <v>56</v>
      </c>
      <c r="E149" s="6"/>
      <c r="F149" s="7"/>
      <c r="G149" s="8">
        <v>2</v>
      </c>
      <c r="H149" s="9"/>
      <c r="J149" s="10"/>
      <c r="K149" s="11"/>
      <c r="L149" s="12"/>
      <c r="M149" s="13"/>
      <c r="O149" s="6"/>
      <c r="P149" s="7"/>
      <c r="Q149" s="8"/>
      <c r="R149" s="9"/>
      <c r="T149" s="10"/>
      <c r="U149" s="11"/>
      <c r="V149" s="12"/>
      <c r="W149" s="13"/>
      <c r="Y149" s="6"/>
      <c r="Z149" s="7"/>
      <c r="AA149" s="8"/>
      <c r="AB149" s="9"/>
      <c r="AD149" s="10"/>
      <c r="AE149" s="11"/>
      <c r="AF149" s="12"/>
      <c r="AG149" s="13"/>
      <c r="AI149" s="6"/>
      <c r="AJ149" s="7"/>
      <c r="AK149" s="8"/>
      <c r="AL149" s="9"/>
      <c r="AN149" s="10"/>
      <c r="AO149" s="11"/>
      <c r="AP149" s="12"/>
      <c r="AQ149" s="13"/>
      <c r="AS149" s="6"/>
      <c r="AT149" s="7"/>
      <c r="AU149" s="8"/>
      <c r="AV149" s="9"/>
      <c r="AX149" s="10"/>
      <c r="AY149" s="11"/>
      <c r="AZ149" s="12"/>
      <c r="BA149" s="13"/>
      <c r="BC149" s="6"/>
      <c r="BD149" s="7"/>
      <c r="BE149" s="8"/>
      <c r="BF149" s="9"/>
      <c r="BG149" s="4"/>
      <c r="BH149" s="46">
        <f t="shared" si="14"/>
        <v>2</v>
      </c>
      <c r="BI149" s="47">
        <f t="shared" si="15"/>
        <v>0.6</v>
      </c>
    </row>
    <row r="150" spans="1:61" x14ac:dyDescent="0.25">
      <c r="A150" s="42" t="s">
        <v>429</v>
      </c>
      <c r="B150" s="42"/>
      <c r="C150" s="42" t="s">
        <v>64</v>
      </c>
      <c r="E150" s="6"/>
      <c r="F150" s="7"/>
      <c r="G150" s="8"/>
      <c r="H150" s="9"/>
      <c r="J150" s="10"/>
      <c r="K150" s="11"/>
      <c r="L150" s="12"/>
      <c r="M150" s="13"/>
      <c r="O150" s="6"/>
      <c r="P150" s="7"/>
      <c r="Q150" s="8"/>
      <c r="R150" s="9">
        <v>1</v>
      </c>
      <c r="T150" s="10"/>
      <c r="U150" s="11">
        <v>2</v>
      </c>
      <c r="V150" s="12"/>
      <c r="W150" s="13">
        <v>4</v>
      </c>
      <c r="Y150" s="6"/>
      <c r="Z150" s="7">
        <v>4</v>
      </c>
      <c r="AA150" s="8">
        <v>3</v>
      </c>
      <c r="AB150" s="9">
        <v>3</v>
      </c>
      <c r="AD150" s="10">
        <v>2</v>
      </c>
      <c r="AE150" s="11"/>
      <c r="AF150" s="12">
        <v>3</v>
      </c>
      <c r="AG150" s="13"/>
      <c r="AI150" s="6">
        <v>3</v>
      </c>
      <c r="AJ150" s="7"/>
      <c r="AK150" s="8"/>
      <c r="AL150" s="9"/>
      <c r="AN150" s="10"/>
      <c r="AO150" s="11"/>
      <c r="AP150" s="12"/>
      <c r="AQ150" s="13"/>
      <c r="AS150" s="6"/>
      <c r="AT150" s="7"/>
      <c r="AU150" s="8"/>
      <c r="AV150" s="9"/>
      <c r="AX150" s="10"/>
      <c r="AY150" s="11"/>
      <c r="AZ150" s="12"/>
      <c r="BA150" s="13"/>
      <c r="BC150" s="6"/>
      <c r="BD150" s="7"/>
      <c r="BE150" s="8"/>
      <c r="BF150" s="9"/>
      <c r="BG150" s="4"/>
      <c r="BH150" s="46">
        <f t="shared" si="14"/>
        <v>25</v>
      </c>
      <c r="BI150" s="47">
        <f t="shared" si="15"/>
        <v>7.5</v>
      </c>
    </row>
    <row r="151" spans="1:61" x14ac:dyDescent="0.25">
      <c r="A151" s="42" t="s">
        <v>430</v>
      </c>
      <c r="B151" s="42"/>
      <c r="C151" s="42" t="s">
        <v>64</v>
      </c>
      <c r="E151" s="6"/>
      <c r="F151" s="7"/>
      <c r="G151" s="8"/>
      <c r="H151" s="9"/>
      <c r="J151" s="10"/>
      <c r="K151" s="11"/>
      <c r="L151" s="12"/>
      <c r="M151" s="13"/>
      <c r="O151" s="6"/>
      <c r="P151" s="7"/>
      <c r="Q151" s="8"/>
      <c r="R151" s="9">
        <v>6</v>
      </c>
      <c r="T151" s="10"/>
      <c r="U151" s="11"/>
      <c r="V151" s="12"/>
      <c r="W151" s="13"/>
      <c r="Y151" s="6"/>
      <c r="Z151" s="7">
        <v>1</v>
      </c>
      <c r="AA151" s="8"/>
      <c r="AB151" s="9"/>
      <c r="AD151" s="10"/>
      <c r="AE151" s="11"/>
      <c r="AF151" s="12"/>
      <c r="AG151" s="13">
        <v>1</v>
      </c>
      <c r="AI151" s="6"/>
      <c r="AJ151" s="7"/>
      <c r="AK151" s="8"/>
      <c r="AL151" s="9"/>
      <c r="AN151" s="10"/>
      <c r="AO151" s="11"/>
      <c r="AP151" s="12"/>
      <c r="AQ151" s="13"/>
      <c r="AS151" s="6"/>
      <c r="AT151" s="7"/>
      <c r="AU151" s="8"/>
      <c r="AV151" s="9"/>
      <c r="AX151" s="10"/>
      <c r="AY151" s="11"/>
      <c r="AZ151" s="12"/>
      <c r="BA151" s="13"/>
      <c r="BC151" s="6"/>
      <c r="BD151" s="7"/>
      <c r="BE151" s="8"/>
      <c r="BF151" s="9"/>
      <c r="BG151" s="4"/>
      <c r="BH151" s="46">
        <f t="shared" si="14"/>
        <v>8</v>
      </c>
      <c r="BI151" s="47">
        <f t="shared" si="15"/>
        <v>2.4</v>
      </c>
    </row>
    <row r="152" spans="1:61" x14ac:dyDescent="0.25">
      <c r="A152" s="42" t="s">
        <v>431</v>
      </c>
      <c r="B152" s="42"/>
      <c r="C152" s="42" t="s">
        <v>64</v>
      </c>
      <c r="E152" s="6"/>
      <c r="F152" s="7"/>
      <c r="G152" s="8"/>
      <c r="H152" s="9"/>
      <c r="J152" s="10"/>
      <c r="K152" s="11"/>
      <c r="L152" s="12"/>
      <c r="M152" s="13"/>
      <c r="O152" s="6"/>
      <c r="P152" s="7"/>
      <c r="Q152" s="8"/>
      <c r="R152" s="9">
        <v>4</v>
      </c>
      <c r="T152" s="10"/>
      <c r="U152" s="11"/>
      <c r="V152" s="12"/>
      <c r="W152" s="13"/>
      <c r="Y152" s="6"/>
      <c r="Z152" s="7"/>
      <c r="AA152" s="8"/>
      <c r="AB152" s="9"/>
      <c r="AD152" s="10"/>
      <c r="AE152" s="11"/>
      <c r="AF152" s="12"/>
      <c r="AG152" s="13">
        <v>1</v>
      </c>
      <c r="AI152" s="6"/>
      <c r="AJ152" s="7"/>
      <c r="AK152" s="8"/>
      <c r="AL152" s="9"/>
      <c r="AN152" s="10"/>
      <c r="AO152" s="11"/>
      <c r="AP152" s="12"/>
      <c r="AQ152" s="13"/>
      <c r="AS152" s="6"/>
      <c r="AT152" s="7"/>
      <c r="AU152" s="8"/>
      <c r="AV152" s="9"/>
      <c r="AX152" s="10"/>
      <c r="AY152" s="11"/>
      <c r="AZ152" s="12"/>
      <c r="BA152" s="13"/>
      <c r="BC152" s="6"/>
      <c r="BD152" s="7"/>
      <c r="BE152" s="8"/>
      <c r="BF152" s="9"/>
      <c r="BG152" s="4"/>
      <c r="BH152" s="46">
        <f t="shared" si="14"/>
        <v>5</v>
      </c>
      <c r="BI152" s="47">
        <f t="shared" si="15"/>
        <v>1.5</v>
      </c>
    </row>
    <row r="153" spans="1:61" x14ac:dyDescent="0.25">
      <c r="A153" s="42" t="s">
        <v>432</v>
      </c>
      <c r="B153" s="42"/>
      <c r="C153" s="42" t="s">
        <v>64</v>
      </c>
      <c r="E153" s="6"/>
      <c r="F153" s="7"/>
      <c r="G153" s="8"/>
      <c r="H153" s="9"/>
      <c r="J153" s="10"/>
      <c r="K153" s="11"/>
      <c r="L153" s="12"/>
      <c r="M153" s="13"/>
      <c r="O153" s="6"/>
      <c r="P153" s="7"/>
      <c r="Q153" s="8"/>
      <c r="R153" s="9">
        <v>5</v>
      </c>
      <c r="T153" s="10"/>
      <c r="U153" s="11"/>
      <c r="V153" s="12"/>
      <c r="W153" s="13">
        <v>7</v>
      </c>
      <c r="Y153" s="6"/>
      <c r="Z153" s="7"/>
      <c r="AA153" s="8"/>
      <c r="AB153" s="9">
        <v>5</v>
      </c>
      <c r="AD153" s="10"/>
      <c r="AE153" s="11"/>
      <c r="AF153" s="12"/>
      <c r="AG153" s="13"/>
      <c r="AI153" s="6"/>
      <c r="AJ153" s="7"/>
      <c r="AK153" s="8"/>
      <c r="AL153" s="9"/>
      <c r="AN153" s="10"/>
      <c r="AO153" s="11"/>
      <c r="AP153" s="12"/>
      <c r="AQ153" s="13"/>
      <c r="AS153" s="6"/>
      <c r="AT153" s="7"/>
      <c r="AU153" s="8"/>
      <c r="AV153" s="9"/>
      <c r="AX153" s="10"/>
      <c r="AY153" s="11"/>
      <c r="AZ153" s="12"/>
      <c r="BA153" s="13"/>
      <c r="BC153" s="6"/>
      <c r="BD153" s="7"/>
      <c r="BE153" s="8"/>
      <c r="BF153" s="9"/>
      <c r="BG153" s="4"/>
      <c r="BH153" s="46">
        <f t="shared" si="14"/>
        <v>17</v>
      </c>
      <c r="BI153" s="47">
        <f t="shared" si="15"/>
        <v>5.0999999999999996</v>
      </c>
    </row>
    <row r="154" spans="1:61" x14ac:dyDescent="0.25">
      <c r="A154" s="42" t="s">
        <v>433</v>
      </c>
      <c r="B154" s="42"/>
      <c r="C154" s="42" t="s">
        <v>64</v>
      </c>
      <c r="E154" s="6"/>
      <c r="F154" s="7"/>
      <c r="G154" s="8"/>
      <c r="H154" s="9"/>
      <c r="J154" s="10"/>
      <c r="K154" s="11"/>
      <c r="L154" s="12"/>
      <c r="M154" s="13"/>
      <c r="O154" s="6"/>
      <c r="P154" s="7"/>
      <c r="Q154" s="8"/>
      <c r="R154" s="9">
        <v>6</v>
      </c>
      <c r="T154" s="10"/>
      <c r="U154" s="11"/>
      <c r="V154" s="12"/>
      <c r="W154" s="13"/>
      <c r="Y154" s="6">
        <v>1</v>
      </c>
      <c r="Z154" s="7">
        <v>4</v>
      </c>
      <c r="AA154" s="8"/>
      <c r="AB154" s="9"/>
      <c r="AD154" s="10"/>
      <c r="AE154" s="11"/>
      <c r="AF154" s="12"/>
      <c r="AG154" s="13"/>
      <c r="AI154" s="6">
        <v>2</v>
      </c>
      <c r="AJ154" s="7">
        <v>3</v>
      </c>
      <c r="AK154" s="8"/>
      <c r="AL154" s="9"/>
      <c r="AN154" s="10"/>
      <c r="AO154" s="11"/>
      <c r="AP154" s="12"/>
      <c r="AQ154" s="13"/>
      <c r="AS154" s="6"/>
      <c r="AT154" s="7"/>
      <c r="AU154" s="8"/>
      <c r="AV154" s="9"/>
      <c r="AX154" s="10"/>
      <c r="AY154" s="11"/>
      <c r="AZ154" s="12"/>
      <c r="BA154" s="13"/>
      <c r="BC154" s="6"/>
      <c r="BD154" s="7"/>
      <c r="BE154" s="8"/>
      <c r="BF154" s="9"/>
      <c r="BG154" s="4"/>
      <c r="BH154" s="46">
        <f t="shared" si="14"/>
        <v>16</v>
      </c>
      <c r="BI154" s="47">
        <f t="shared" si="15"/>
        <v>4.8</v>
      </c>
    </row>
    <row r="155" spans="1:61" x14ac:dyDescent="0.25">
      <c r="A155" s="42" t="s">
        <v>383</v>
      </c>
      <c r="B155" s="42"/>
      <c r="C155" s="42" t="s">
        <v>64</v>
      </c>
      <c r="E155" s="6"/>
      <c r="F155" s="7"/>
      <c r="G155" s="8"/>
      <c r="H155" s="9"/>
      <c r="J155" s="10"/>
      <c r="K155" s="11"/>
      <c r="L155" s="12"/>
      <c r="M155" s="13"/>
      <c r="O155" s="6"/>
      <c r="P155" s="7"/>
      <c r="Q155" s="8"/>
      <c r="R155" s="9">
        <v>3</v>
      </c>
      <c r="T155" s="10"/>
      <c r="U155" s="11"/>
      <c r="V155" s="12"/>
      <c r="W155" s="13"/>
      <c r="Y155" s="6"/>
      <c r="Z155" s="7"/>
      <c r="AA155" s="8"/>
      <c r="AB155" s="9">
        <v>1</v>
      </c>
      <c r="AD155" s="10"/>
      <c r="AE155" s="11"/>
      <c r="AF155" s="12"/>
      <c r="AG155" s="13"/>
      <c r="AI155" s="6"/>
      <c r="AJ155" s="7"/>
      <c r="AK155" s="8"/>
      <c r="AL155" s="9"/>
      <c r="AN155" s="10"/>
      <c r="AO155" s="11"/>
      <c r="AP155" s="12"/>
      <c r="AQ155" s="13"/>
      <c r="AS155" s="6"/>
      <c r="AT155" s="7"/>
      <c r="AU155" s="8"/>
      <c r="AV155" s="9"/>
      <c r="AX155" s="10"/>
      <c r="AY155" s="11"/>
      <c r="AZ155" s="12"/>
      <c r="BA155" s="13"/>
      <c r="BC155" s="6"/>
      <c r="BD155" s="7"/>
      <c r="BE155" s="8"/>
      <c r="BF155" s="9"/>
      <c r="BG155" s="4"/>
      <c r="BH155" s="46">
        <f t="shared" ref="BH155:BH159" si="26">SUM(E155:BF155)</f>
        <v>4</v>
      </c>
      <c r="BI155" s="47">
        <f t="shared" ref="BI155:BI159" si="27">(SUM(E155:BG155)*$D$2)</f>
        <v>1.2</v>
      </c>
    </row>
    <row r="156" spans="1:61" x14ac:dyDescent="0.25">
      <c r="A156" s="42" t="s">
        <v>442</v>
      </c>
      <c r="B156" s="42"/>
      <c r="C156" s="42" t="s">
        <v>64</v>
      </c>
      <c r="E156" s="6"/>
      <c r="F156" s="7"/>
      <c r="G156" s="8"/>
      <c r="H156" s="9"/>
      <c r="J156" s="10"/>
      <c r="K156" s="11"/>
      <c r="L156" s="12"/>
      <c r="M156" s="13"/>
      <c r="O156" s="6"/>
      <c r="P156" s="7"/>
      <c r="Q156" s="8"/>
      <c r="R156" s="9"/>
      <c r="T156" s="10"/>
      <c r="U156" s="11"/>
      <c r="V156" s="12"/>
      <c r="W156" s="13">
        <v>2</v>
      </c>
      <c r="Y156" s="6"/>
      <c r="Z156" s="7"/>
      <c r="AA156" s="8"/>
      <c r="AB156" s="9"/>
      <c r="AD156" s="10"/>
      <c r="AE156" s="11"/>
      <c r="AF156" s="12"/>
      <c r="AG156" s="13"/>
      <c r="AI156" s="6"/>
      <c r="AJ156" s="7"/>
      <c r="AK156" s="8"/>
      <c r="AL156" s="9"/>
      <c r="AN156" s="10"/>
      <c r="AO156" s="11"/>
      <c r="AP156" s="12"/>
      <c r="AQ156" s="13"/>
      <c r="AS156" s="6"/>
      <c r="AT156" s="7"/>
      <c r="AU156" s="8"/>
      <c r="AV156" s="9"/>
      <c r="AX156" s="10"/>
      <c r="AY156" s="11"/>
      <c r="AZ156" s="12"/>
      <c r="BA156" s="13"/>
      <c r="BC156" s="6"/>
      <c r="BD156" s="7"/>
      <c r="BE156" s="8"/>
      <c r="BF156" s="9"/>
      <c r="BG156" s="4"/>
      <c r="BH156" s="46">
        <f t="shared" si="26"/>
        <v>2</v>
      </c>
      <c r="BI156" s="47">
        <f t="shared" si="27"/>
        <v>0.6</v>
      </c>
    </row>
    <row r="157" spans="1:61" x14ac:dyDescent="0.25">
      <c r="A157" s="42" t="s">
        <v>443</v>
      </c>
      <c r="B157" s="42"/>
      <c r="C157" s="42" t="s">
        <v>64</v>
      </c>
      <c r="E157" s="6"/>
      <c r="F157" s="7"/>
      <c r="G157" s="8"/>
      <c r="H157" s="9"/>
      <c r="J157" s="10"/>
      <c r="K157" s="11"/>
      <c r="L157" s="12"/>
      <c r="M157" s="13"/>
      <c r="O157" s="6"/>
      <c r="P157" s="7"/>
      <c r="Q157" s="8"/>
      <c r="R157" s="9"/>
      <c r="T157" s="10"/>
      <c r="U157" s="11"/>
      <c r="V157" s="12"/>
      <c r="W157" s="13">
        <v>1</v>
      </c>
      <c r="Y157" s="6"/>
      <c r="Z157" s="7"/>
      <c r="AA157" s="8"/>
      <c r="AB157" s="9"/>
      <c r="AD157" s="10"/>
      <c r="AE157" s="11"/>
      <c r="AF157" s="12"/>
      <c r="AG157" s="13">
        <v>2</v>
      </c>
      <c r="AI157" s="6"/>
      <c r="AJ157" s="7"/>
      <c r="AK157" s="8"/>
      <c r="AL157" s="9"/>
      <c r="AN157" s="10"/>
      <c r="AO157" s="11"/>
      <c r="AP157" s="12"/>
      <c r="AQ157" s="13"/>
      <c r="AS157" s="6"/>
      <c r="AT157" s="7"/>
      <c r="AU157" s="8"/>
      <c r="AV157" s="9"/>
      <c r="AX157" s="10"/>
      <c r="AY157" s="11"/>
      <c r="AZ157" s="12"/>
      <c r="BA157" s="13"/>
      <c r="BC157" s="6"/>
      <c r="BD157" s="7"/>
      <c r="BE157" s="8"/>
      <c r="BF157" s="9"/>
      <c r="BG157" s="4"/>
      <c r="BH157" s="46">
        <f t="shared" si="26"/>
        <v>3</v>
      </c>
      <c r="BI157" s="47">
        <f t="shared" si="27"/>
        <v>0.89999999999999991</v>
      </c>
    </row>
    <row r="158" spans="1:61" x14ac:dyDescent="0.25">
      <c r="A158" s="42" t="s">
        <v>450</v>
      </c>
      <c r="B158" s="42"/>
      <c r="C158" s="42" t="s">
        <v>64</v>
      </c>
      <c r="E158" s="6"/>
      <c r="F158" s="7"/>
      <c r="G158" s="8"/>
      <c r="H158" s="9"/>
      <c r="J158" s="10"/>
      <c r="K158" s="11"/>
      <c r="L158" s="12"/>
      <c r="M158" s="13"/>
      <c r="O158" s="6"/>
      <c r="P158" s="7"/>
      <c r="Q158" s="8"/>
      <c r="R158" s="9"/>
      <c r="T158" s="10"/>
      <c r="U158" s="11"/>
      <c r="V158" s="12"/>
      <c r="W158" s="13"/>
      <c r="Y158" s="6">
        <v>2</v>
      </c>
      <c r="Z158" s="7"/>
      <c r="AA158" s="8"/>
      <c r="AB158" s="9"/>
      <c r="AD158" s="10"/>
      <c r="AE158" s="11"/>
      <c r="AF158" s="12"/>
      <c r="AG158" s="13"/>
      <c r="AI158" s="6"/>
      <c r="AJ158" s="7"/>
      <c r="AK158" s="8"/>
      <c r="AL158" s="9"/>
      <c r="AN158" s="10"/>
      <c r="AO158" s="11"/>
      <c r="AP158" s="12"/>
      <c r="AQ158" s="13"/>
      <c r="AS158" s="6"/>
      <c r="AT158" s="7"/>
      <c r="AU158" s="8"/>
      <c r="AV158" s="9"/>
      <c r="AX158" s="10"/>
      <c r="AY158" s="11"/>
      <c r="AZ158" s="12"/>
      <c r="BA158" s="13"/>
      <c r="BC158" s="6"/>
      <c r="BD158" s="7"/>
      <c r="BE158" s="8"/>
      <c r="BF158" s="9"/>
      <c r="BG158" s="4"/>
      <c r="BH158" s="46">
        <f t="shared" si="26"/>
        <v>2</v>
      </c>
      <c r="BI158" s="47">
        <f t="shared" si="27"/>
        <v>0.6</v>
      </c>
    </row>
    <row r="159" spans="1:61" x14ac:dyDescent="0.25">
      <c r="A159" s="42" t="s">
        <v>455</v>
      </c>
      <c r="B159" s="42"/>
      <c r="C159" s="42" t="s">
        <v>64</v>
      </c>
      <c r="E159" s="6"/>
      <c r="F159" s="7"/>
      <c r="G159" s="8"/>
      <c r="H159" s="9"/>
      <c r="J159" s="10"/>
      <c r="K159" s="11"/>
      <c r="L159" s="12"/>
      <c r="M159" s="13"/>
      <c r="O159" s="6"/>
      <c r="P159" s="7"/>
      <c r="Q159" s="8"/>
      <c r="R159" s="9"/>
      <c r="T159" s="10"/>
      <c r="U159" s="11"/>
      <c r="V159" s="12"/>
      <c r="W159" s="13"/>
      <c r="Y159" s="6"/>
      <c r="Z159" s="7"/>
      <c r="AA159" s="8"/>
      <c r="AB159" s="9">
        <v>1</v>
      </c>
      <c r="AD159" s="10"/>
      <c r="AE159" s="11"/>
      <c r="AF159" s="12"/>
      <c r="AG159" s="13"/>
      <c r="AI159" s="6"/>
      <c r="AJ159" s="7"/>
      <c r="AK159" s="8"/>
      <c r="AL159" s="9"/>
      <c r="AN159" s="10"/>
      <c r="AO159" s="11"/>
      <c r="AP159" s="12"/>
      <c r="AQ159" s="13"/>
      <c r="AS159" s="6"/>
      <c r="AT159" s="7"/>
      <c r="AU159" s="8"/>
      <c r="AV159" s="9"/>
      <c r="AX159" s="10"/>
      <c r="AY159" s="11"/>
      <c r="AZ159" s="12"/>
      <c r="BA159" s="13"/>
      <c r="BC159" s="6"/>
      <c r="BD159" s="7"/>
      <c r="BE159" s="8"/>
      <c r="BF159" s="9"/>
      <c r="BG159" s="4"/>
      <c r="BH159" s="46">
        <f t="shared" si="26"/>
        <v>1</v>
      </c>
      <c r="BI159" s="47">
        <f t="shared" si="27"/>
        <v>0.3</v>
      </c>
    </row>
    <row r="160" spans="1:61" x14ac:dyDescent="0.25">
      <c r="A160" s="42" t="s">
        <v>457</v>
      </c>
      <c r="B160" s="42"/>
      <c r="C160" s="42" t="s">
        <v>64</v>
      </c>
      <c r="E160" s="6"/>
      <c r="F160" s="7"/>
      <c r="G160" s="8"/>
      <c r="H160" s="9"/>
      <c r="J160" s="10"/>
      <c r="K160" s="11"/>
      <c r="L160" s="12"/>
      <c r="M160" s="13"/>
      <c r="O160" s="6"/>
      <c r="P160" s="7"/>
      <c r="Q160" s="8"/>
      <c r="R160" s="9"/>
      <c r="T160" s="10"/>
      <c r="U160" s="11"/>
      <c r="V160" s="12"/>
      <c r="W160" s="13"/>
      <c r="Y160" s="6"/>
      <c r="Z160" s="7"/>
      <c r="AA160" s="8"/>
      <c r="AB160" s="9"/>
      <c r="AD160" s="10"/>
      <c r="AE160" s="11"/>
      <c r="AF160" s="12"/>
      <c r="AG160" s="13"/>
      <c r="AI160" s="6">
        <v>1</v>
      </c>
      <c r="AJ160" s="7"/>
      <c r="AK160" s="8"/>
      <c r="AL160" s="9"/>
      <c r="AN160" s="10"/>
      <c r="AO160" s="11"/>
      <c r="AP160" s="12"/>
      <c r="AQ160" s="13"/>
      <c r="AS160" s="6"/>
      <c r="AT160" s="7"/>
      <c r="AU160" s="8"/>
      <c r="AV160" s="9"/>
      <c r="AX160" s="10"/>
      <c r="AY160" s="11"/>
      <c r="AZ160" s="12"/>
      <c r="BA160" s="13"/>
      <c r="BC160" s="6"/>
      <c r="BD160" s="7"/>
      <c r="BE160" s="8"/>
      <c r="BF160" s="9"/>
      <c r="BG160" s="4"/>
      <c r="BH160" s="46">
        <f t="shared" si="14"/>
        <v>1</v>
      </c>
      <c r="BI160" s="47">
        <f t="shared" si="15"/>
        <v>0.3</v>
      </c>
    </row>
    <row r="161" spans="1:61" x14ac:dyDescent="0.25">
      <c r="E161" s="6"/>
      <c r="F161" s="7"/>
      <c r="G161" s="8"/>
      <c r="H161" s="9"/>
      <c r="J161" s="10"/>
      <c r="K161" s="11"/>
      <c r="L161" s="12"/>
      <c r="M161" s="13"/>
      <c r="O161" s="6"/>
      <c r="P161" s="7"/>
      <c r="Q161" s="8"/>
      <c r="R161" s="9"/>
      <c r="T161" s="10"/>
      <c r="U161" s="11"/>
      <c r="V161" s="12"/>
      <c r="W161" s="13"/>
      <c r="Y161" s="6"/>
      <c r="Z161" s="7"/>
      <c r="AA161" s="8"/>
      <c r="AB161" s="9"/>
      <c r="AD161" s="10"/>
      <c r="AE161" s="11"/>
      <c r="AF161" s="12"/>
      <c r="AG161" s="13"/>
      <c r="AI161" s="6"/>
      <c r="AJ161" s="7"/>
      <c r="AK161" s="8"/>
      <c r="AL161" s="9"/>
      <c r="AN161" s="10"/>
      <c r="AO161" s="11"/>
      <c r="AP161" s="12"/>
      <c r="AQ161" s="13"/>
      <c r="AS161" s="6"/>
      <c r="AT161" s="7"/>
      <c r="AU161" s="8"/>
      <c r="AV161" s="9"/>
      <c r="AX161" s="10"/>
      <c r="AY161" s="11"/>
      <c r="AZ161" s="12"/>
      <c r="BA161" s="13"/>
      <c r="BC161" s="6"/>
      <c r="BD161" s="7"/>
      <c r="BE161" s="8"/>
      <c r="BF161" s="9"/>
      <c r="BG161" s="4"/>
      <c r="BH161" s="46"/>
      <c r="BI161" s="47"/>
    </row>
    <row r="162" spans="1:61" x14ac:dyDescent="0.25">
      <c r="A162" s="40" t="s">
        <v>279</v>
      </c>
      <c r="B162" s="41">
        <v>2</v>
      </c>
      <c r="C162" s="40" t="s">
        <v>66</v>
      </c>
      <c r="D162" t="s">
        <v>52</v>
      </c>
      <c r="E162" s="6"/>
      <c r="F162" s="7"/>
      <c r="G162" s="8"/>
      <c r="H162" s="9"/>
      <c r="J162" s="10"/>
      <c r="K162" s="11"/>
      <c r="L162" s="12"/>
      <c r="M162" s="13"/>
      <c r="O162" s="6"/>
      <c r="P162" s="7"/>
      <c r="Q162" s="8"/>
      <c r="R162" s="9"/>
      <c r="T162" s="10"/>
      <c r="U162" s="11"/>
      <c r="V162" s="12"/>
      <c r="W162" s="13"/>
      <c r="Y162" s="6"/>
      <c r="Z162" s="7"/>
      <c r="AA162" s="8"/>
      <c r="AB162" s="9"/>
      <c r="AD162" s="10"/>
      <c r="AE162" s="11"/>
      <c r="AF162" s="12"/>
      <c r="AG162" s="13"/>
      <c r="AI162" s="6"/>
      <c r="AJ162" s="7"/>
      <c r="AK162" s="8"/>
      <c r="AL162" s="9"/>
      <c r="AN162" s="10"/>
      <c r="AO162" s="11"/>
      <c r="AP162" s="12"/>
      <c r="AQ162" s="13"/>
      <c r="AS162" s="6"/>
      <c r="AT162" s="7"/>
      <c r="AU162" s="8"/>
      <c r="AV162" s="9"/>
      <c r="AX162" s="10"/>
      <c r="AY162" s="11"/>
      <c r="AZ162" s="12"/>
      <c r="BA162" s="13"/>
      <c r="BC162" s="6"/>
      <c r="BD162" s="7"/>
      <c r="BE162" s="8"/>
      <c r="BF162" s="9"/>
      <c r="BG162" s="4"/>
      <c r="BH162" s="46">
        <f t="shared" si="14"/>
        <v>0</v>
      </c>
      <c r="BI162" s="47">
        <f t="shared" si="15"/>
        <v>0</v>
      </c>
    </row>
    <row r="163" spans="1:61" x14ac:dyDescent="0.25">
      <c r="A163" s="40" t="s">
        <v>384</v>
      </c>
      <c r="B163" s="41">
        <v>2</v>
      </c>
      <c r="C163" s="40" t="s">
        <v>66</v>
      </c>
      <c r="D163" t="s">
        <v>52</v>
      </c>
      <c r="E163" s="6"/>
      <c r="F163" s="7"/>
      <c r="G163" s="8"/>
      <c r="H163" s="9"/>
      <c r="J163" s="10"/>
      <c r="K163" s="11"/>
      <c r="L163" s="12"/>
      <c r="M163" s="13"/>
      <c r="O163" s="6"/>
      <c r="P163" s="7"/>
      <c r="Q163" s="8"/>
      <c r="R163" s="9">
        <v>1</v>
      </c>
      <c r="T163" s="10"/>
      <c r="U163" s="11"/>
      <c r="V163" s="12"/>
      <c r="W163" s="13"/>
      <c r="Y163" s="6"/>
      <c r="Z163" s="7"/>
      <c r="AA163" s="8"/>
      <c r="AB163" s="9"/>
      <c r="AD163" s="10"/>
      <c r="AE163" s="11"/>
      <c r="AF163" s="12"/>
      <c r="AG163" s="13"/>
      <c r="AI163" s="6"/>
      <c r="AJ163" s="7"/>
      <c r="AK163" s="8"/>
      <c r="AL163" s="9"/>
      <c r="AN163" s="10"/>
      <c r="AO163" s="11"/>
      <c r="AP163" s="12"/>
      <c r="AQ163" s="13"/>
      <c r="AS163" s="6"/>
      <c r="AT163" s="7"/>
      <c r="AU163" s="8"/>
      <c r="AV163" s="9"/>
      <c r="AX163" s="10"/>
      <c r="AY163" s="11"/>
      <c r="AZ163" s="12"/>
      <c r="BA163" s="13"/>
      <c r="BC163" s="6"/>
      <c r="BD163" s="7"/>
      <c r="BE163" s="8"/>
      <c r="BF163" s="9"/>
      <c r="BG163" s="4"/>
      <c r="BH163" s="46">
        <f t="shared" si="14"/>
        <v>1</v>
      </c>
      <c r="BI163" s="47">
        <f t="shared" si="15"/>
        <v>0.3</v>
      </c>
    </row>
    <row r="164" spans="1:61" x14ac:dyDescent="0.25">
      <c r="A164" s="40" t="s">
        <v>281</v>
      </c>
      <c r="B164" s="41">
        <v>2</v>
      </c>
      <c r="C164" s="40" t="s">
        <v>66</v>
      </c>
      <c r="D164" t="s">
        <v>52</v>
      </c>
      <c r="E164" s="6"/>
      <c r="F164" s="7"/>
      <c r="G164" s="8"/>
      <c r="H164" s="9"/>
      <c r="J164" s="10"/>
      <c r="K164" s="11"/>
      <c r="L164" s="12"/>
      <c r="M164" s="13"/>
      <c r="O164" s="6"/>
      <c r="P164" s="7"/>
      <c r="Q164" s="8"/>
      <c r="R164" s="9">
        <v>8</v>
      </c>
      <c r="T164" s="10"/>
      <c r="U164" s="11">
        <v>5</v>
      </c>
      <c r="V164" s="12"/>
      <c r="W164" s="13">
        <v>9</v>
      </c>
      <c r="Y164" s="6">
        <v>7</v>
      </c>
      <c r="Z164" s="7"/>
      <c r="AA164" s="8">
        <v>5</v>
      </c>
      <c r="AB164" s="9"/>
      <c r="AD164" s="10"/>
      <c r="AE164" s="11"/>
      <c r="AF164" s="12"/>
      <c r="AG164" s="13">
        <v>7</v>
      </c>
      <c r="AI164" s="6">
        <v>4</v>
      </c>
      <c r="AJ164" s="7">
        <v>1</v>
      </c>
      <c r="AK164" s="8"/>
      <c r="AL164" s="9"/>
      <c r="AN164" s="10"/>
      <c r="AO164" s="11"/>
      <c r="AP164" s="12"/>
      <c r="AQ164" s="13"/>
      <c r="AS164" s="6"/>
      <c r="AT164" s="7"/>
      <c r="AU164" s="8"/>
      <c r="AV164" s="9"/>
      <c r="AX164" s="10"/>
      <c r="AY164" s="11"/>
      <c r="AZ164" s="12"/>
      <c r="BA164" s="13"/>
      <c r="BC164" s="6"/>
      <c r="BD164" s="7"/>
      <c r="BE164" s="8"/>
      <c r="BF164" s="9"/>
      <c r="BG164" s="4"/>
      <c r="BH164" s="46">
        <f t="shared" si="14"/>
        <v>46</v>
      </c>
      <c r="BI164" s="47">
        <f t="shared" si="15"/>
        <v>13.799999999999999</v>
      </c>
    </row>
    <row r="165" spans="1:61" x14ac:dyDescent="0.25">
      <c r="A165" s="40" t="s">
        <v>282</v>
      </c>
      <c r="B165" s="41">
        <v>2</v>
      </c>
      <c r="C165" s="40" t="s">
        <v>66</v>
      </c>
      <c r="D165" t="s">
        <v>52</v>
      </c>
      <c r="E165" s="6"/>
      <c r="F165" s="7"/>
      <c r="G165" s="8"/>
      <c r="H165" s="9"/>
      <c r="J165" s="10"/>
      <c r="K165" s="11"/>
      <c r="L165" s="12"/>
      <c r="M165" s="13"/>
      <c r="O165" s="6"/>
      <c r="P165" s="7"/>
      <c r="Q165" s="8"/>
      <c r="R165" s="9">
        <v>8</v>
      </c>
      <c r="T165" s="10"/>
      <c r="U165" s="11">
        <v>5</v>
      </c>
      <c r="V165" s="12"/>
      <c r="W165" s="13">
        <v>10</v>
      </c>
      <c r="Y165" s="6">
        <v>7</v>
      </c>
      <c r="Z165" s="7"/>
      <c r="AA165" s="8"/>
      <c r="AB165" s="9">
        <v>11</v>
      </c>
      <c r="AD165" s="10"/>
      <c r="AE165" s="11"/>
      <c r="AF165" s="12"/>
      <c r="AG165" s="13"/>
      <c r="AI165" s="6">
        <v>3</v>
      </c>
      <c r="AJ165" s="7">
        <v>1</v>
      </c>
      <c r="AK165" s="8"/>
      <c r="AL165" s="9"/>
      <c r="AN165" s="10"/>
      <c r="AO165" s="11"/>
      <c r="AP165" s="12"/>
      <c r="AQ165" s="13"/>
      <c r="AS165" s="6"/>
      <c r="AT165" s="7"/>
      <c r="AU165" s="8"/>
      <c r="AV165" s="9"/>
      <c r="AX165" s="10"/>
      <c r="AY165" s="11"/>
      <c r="AZ165" s="12"/>
      <c r="BA165" s="13"/>
      <c r="BC165" s="6"/>
      <c r="BD165" s="7"/>
      <c r="BE165" s="8"/>
      <c r="BF165" s="9"/>
      <c r="BG165" s="4"/>
      <c r="BH165" s="46">
        <f t="shared" si="14"/>
        <v>45</v>
      </c>
      <c r="BI165" s="47">
        <f t="shared" si="15"/>
        <v>13.5</v>
      </c>
    </row>
    <row r="166" spans="1:61" x14ac:dyDescent="0.25">
      <c r="A166" s="40" t="s">
        <v>215</v>
      </c>
      <c r="B166" s="41">
        <v>2</v>
      </c>
      <c r="C166" s="40" t="s">
        <v>66</v>
      </c>
      <c r="D166" t="s">
        <v>52</v>
      </c>
      <c r="E166" s="6">
        <v>5</v>
      </c>
      <c r="F166" s="7">
        <v>5</v>
      </c>
      <c r="G166" s="8">
        <v>5</v>
      </c>
      <c r="H166" s="9">
        <v>4</v>
      </c>
      <c r="J166" s="10"/>
      <c r="K166" s="11"/>
      <c r="L166" s="12">
        <v>4</v>
      </c>
      <c r="M166" s="13"/>
      <c r="O166" s="6"/>
      <c r="P166" s="7"/>
      <c r="Q166" s="8"/>
      <c r="R166" s="9">
        <v>8</v>
      </c>
      <c r="T166" s="10"/>
      <c r="U166" s="11">
        <v>3</v>
      </c>
      <c r="V166" s="12"/>
      <c r="W166" s="13">
        <v>5</v>
      </c>
      <c r="Y166" s="6"/>
      <c r="Z166" s="7"/>
      <c r="AA166" s="8"/>
      <c r="AB166" s="9">
        <v>10</v>
      </c>
      <c r="AD166" s="10"/>
      <c r="AE166" s="11"/>
      <c r="AF166" s="12"/>
      <c r="AG166" s="13">
        <v>8</v>
      </c>
      <c r="AI166" s="6">
        <v>4</v>
      </c>
      <c r="AJ166" s="7"/>
      <c r="AK166" s="8"/>
      <c r="AL166" s="9"/>
      <c r="AN166" s="10"/>
      <c r="AO166" s="11"/>
      <c r="AP166" s="12"/>
      <c r="AQ166" s="13"/>
      <c r="AS166" s="6"/>
      <c r="AT166" s="7"/>
      <c r="AU166" s="8"/>
      <c r="AV166" s="9"/>
      <c r="AX166" s="10"/>
      <c r="AY166" s="11"/>
      <c r="AZ166" s="12"/>
      <c r="BA166" s="13"/>
      <c r="BC166" s="6"/>
      <c r="BD166" s="7"/>
      <c r="BE166" s="8"/>
      <c r="BF166" s="9"/>
      <c r="BG166" s="4"/>
      <c r="BH166" s="46">
        <f t="shared" si="14"/>
        <v>61</v>
      </c>
      <c r="BI166" s="47">
        <f t="shared" si="15"/>
        <v>18.3</v>
      </c>
    </row>
    <row r="167" spans="1:61" x14ac:dyDescent="0.25">
      <c r="A167" s="40" t="s">
        <v>327</v>
      </c>
      <c r="B167" s="41">
        <v>2</v>
      </c>
      <c r="C167" s="40" t="s">
        <v>66</v>
      </c>
      <c r="D167" t="s">
        <v>52</v>
      </c>
      <c r="E167" s="6"/>
      <c r="F167" s="7"/>
      <c r="G167" s="8"/>
      <c r="H167" s="9"/>
      <c r="J167" s="10"/>
      <c r="K167" s="11"/>
      <c r="L167" s="12"/>
      <c r="M167" s="13"/>
      <c r="O167" s="6"/>
      <c r="P167" s="7"/>
      <c r="Q167" s="8"/>
      <c r="R167" s="9"/>
      <c r="T167" s="10"/>
      <c r="U167" s="11"/>
      <c r="V167" s="12"/>
      <c r="W167" s="13"/>
      <c r="Y167" s="6"/>
      <c r="Z167" s="7"/>
      <c r="AA167" s="8"/>
      <c r="AB167" s="9"/>
      <c r="AD167" s="10"/>
      <c r="AE167" s="11"/>
      <c r="AF167" s="12"/>
      <c r="AG167" s="13"/>
      <c r="AI167" s="6"/>
      <c r="AJ167" s="7"/>
      <c r="AK167" s="8"/>
      <c r="AL167" s="9"/>
      <c r="AN167" s="10"/>
      <c r="AO167" s="11"/>
      <c r="AP167" s="12"/>
      <c r="AQ167" s="13"/>
      <c r="AS167" s="6"/>
      <c r="AT167" s="7"/>
      <c r="AU167" s="8"/>
      <c r="AV167" s="9"/>
      <c r="AX167" s="10"/>
      <c r="AY167" s="11"/>
      <c r="AZ167" s="12"/>
      <c r="BA167" s="13"/>
      <c r="BC167" s="6"/>
      <c r="BD167" s="7"/>
      <c r="BE167" s="8"/>
      <c r="BF167" s="9"/>
      <c r="BG167" s="4"/>
      <c r="BH167" s="46">
        <f t="shared" si="14"/>
        <v>0</v>
      </c>
      <c r="BI167" s="47">
        <f t="shared" si="15"/>
        <v>0</v>
      </c>
    </row>
    <row r="168" spans="1:61" x14ac:dyDescent="0.25">
      <c r="A168" s="40" t="s">
        <v>326</v>
      </c>
      <c r="B168" s="41">
        <v>10</v>
      </c>
      <c r="C168" s="40" t="s">
        <v>66</v>
      </c>
      <c r="D168" t="s">
        <v>59</v>
      </c>
      <c r="E168" s="6"/>
      <c r="F168" s="7"/>
      <c r="G168" s="8"/>
      <c r="H168" s="9"/>
      <c r="J168" s="10"/>
      <c r="K168" s="11"/>
      <c r="L168" s="12"/>
      <c r="M168" s="13"/>
      <c r="O168" s="6"/>
      <c r="P168" s="7"/>
      <c r="Q168" s="8"/>
      <c r="R168" s="9">
        <v>1</v>
      </c>
      <c r="T168" s="10"/>
      <c r="U168" s="11"/>
      <c r="V168" s="12"/>
      <c r="W168" s="13"/>
      <c r="Y168" s="6"/>
      <c r="Z168" s="7"/>
      <c r="AA168" s="8"/>
      <c r="AB168" s="9"/>
      <c r="AD168" s="10"/>
      <c r="AE168" s="11"/>
      <c r="AF168" s="12"/>
      <c r="AG168" s="13"/>
      <c r="AI168" s="6"/>
      <c r="AJ168" s="7"/>
      <c r="AK168" s="8"/>
      <c r="AL168" s="9"/>
      <c r="AN168" s="10"/>
      <c r="AO168" s="11"/>
      <c r="AP168" s="12"/>
      <c r="AQ168" s="13"/>
      <c r="AS168" s="6"/>
      <c r="AT168" s="7"/>
      <c r="AU168" s="8"/>
      <c r="AV168" s="9"/>
      <c r="AX168" s="10"/>
      <c r="AY168" s="11"/>
      <c r="AZ168" s="12"/>
      <c r="BA168" s="13"/>
      <c r="BC168" s="6"/>
      <c r="BD168" s="7"/>
      <c r="BE168" s="8"/>
      <c r="BF168" s="9"/>
      <c r="BG168" s="4"/>
      <c r="BH168" s="46">
        <f t="shared" si="14"/>
        <v>1</v>
      </c>
      <c r="BI168" s="47">
        <f t="shared" si="15"/>
        <v>0.3</v>
      </c>
    </row>
    <row r="169" spans="1:61" x14ac:dyDescent="0.25">
      <c r="A169" s="40" t="s">
        <v>385</v>
      </c>
      <c r="B169" s="41">
        <v>10</v>
      </c>
      <c r="C169" s="40" t="s">
        <v>66</v>
      </c>
      <c r="D169" t="s">
        <v>59</v>
      </c>
      <c r="E169" s="6"/>
      <c r="F169" s="7">
        <v>4</v>
      </c>
      <c r="G169" s="8"/>
      <c r="H169" s="9"/>
      <c r="J169" s="10"/>
      <c r="K169" s="11"/>
      <c r="L169" s="12"/>
      <c r="M169" s="13"/>
      <c r="O169" s="6"/>
      <c r="P169" s="7">
        <v>3</v>
      </c>
      <c r="Q169" s="8">
        <v>7</v>
      </c>
      <c r="R169" s="9">
        <v>8</v>
      </c>
      <c r="T169" s="10"/>
      <c r="U169" s="11"/>
      <c r="V169" s="12"/>
      <c r="W169" s="13"/>
      <c r="Y169" s="6">
        <v>8</v>
      </c>
      <c r="Z169" s="7"/>
      <c r="AA169" s="8"/>
      <c r="AB169" s="9"/>
      <c r="AD169" s="10"/>
      <c r="AE169" s="11"/>
      <c r="AF169" s="12"/>
      <c r="AG169" s="13"/>
      <c r="AI169" s="6"/>
      <c r="AJ169" s="7"/>
      <c r="AK169" s="8"/>
      <c r="AL169" s="9"/>
      <c r="AN169" s="10"/>
      <c r="AO169" s="11"/>
      <c r="AP169" s="12"/>
      <c r="AQ169" s="13"/>
      <c r="AS169" s="6"/>
      <c r="AT169" s="7"/>
      <c r="AU169" s="8"/>
      <c r="AV169" s="9"/>
      <c r="AX169" s="10"/>
      <c r="AY169" s="11"/>
      <c r="AZ169" s="12"/>
      <c r="BA169" s="13"/>
      <c r="BC169" s="6"/>
      <c r="BD169" s="7"/>
      <c r="BE169" s="8"/>
      <c r="BF169" s="9"/>
      <c r="BG169" s="4"/>
      <c r="BH169" s="46">
        <f t="shared" si="14"/>
        <v>30</v>
      </c>
      <c r="BI169" s="47">
        <f t="shared" si="15"/>
        <v>9</v>
      </c>
    </row>
    <row r="170" spans="1:61" x14ac:dyDescent="0.25">
      <c r="A170" s="40" t="s">
        <v>325</v>
      </c>
      <c r="B170" s="41">
        <v>3</v>
      </c>
      <c r="C170" s="40" t="s">
        <v>66</v>
      </c>
      <c r="D170" t="s">
        <v>56</v>
      </c>
      <c r="E170" s="6"/>
      <c r="F170" s="7">
        <v>4</v>
      </c>
      <c r="G170" s="8">
        <v>6</v>
      </c>
      <c r="H170" s="9"/>
      <c r="J170" s="10"/>
      <c r="K170" s="11"/>
      <c r="L170" s="12"/>
      <c r="M170" s="13">
        <v>8</v>
      </c>
      <c r="O170" s="6">
        <v>8</v>
      </c>
      <c r="P170" s="7">
        <v>3</v>
      </c>
      <c r="Q170" s="8">
        <v>5</v>
      </c>
      <c r="R170" s="9">
        <v>2</v>
      </c>
      <c r="T170" s="10"/>
      <c r="U170" s="11">
        <v>6</v>
      </c>
      <c r="V170" s="12"/>
      <c r="W170" s="13">
        <v>8</v>
      </c>
      <c r="Y170" s="6">
        <v>4</v>
      </c>
      <c r="Z170" s="7"/>
      <c r="AA170" s="8"/>
      <c r="AB170" s="9">
        <v>8</v>
      </c>
      <c r="AD170" s="10"/>
      <c r="AE170" s="11"/>
      <c r="AF170" s="12"/>
      <c r="AG170" s="13"/>
      <c r="AI170" s="6"/>
      <c r="AJ170" s="7"/>
      <c r="AK170" s="8"/>
      <c r="AL170" s="9"/>
      <c r="AN170" s="10"/>
      <c r="AO170" s="11"/>
      <c r="AP170" s="12"/>
      <c r="AQ170" s="13"/>
      <c r="AS170" s="6"/>
      <c r="AT170" s="7"/>
      <c r="AU170" s="8"/>
      <c r="AV170" s="9"/>
      <c r="AX170" s="10"/>
      <c r="AY170" s="11"/>
      <c r="AZ170" s="12"/>
      <c r="BA170" s="13"/>
      <c r="BC170" s="6"/>
      <c r="BD170" s="7"/>
      <c r="BE170" s="8"/>
      <c r="BF170" s="9"/>
      <c r="BG170" s="4"/>
      <c r="BH170" s="46">
        <f t="shared" si="14"/>
        <v>62</v>
      </c>
      <c r="BI170" s="47">
        <f t="shared" si="15"/>
        <v>18.599999999999998</v>
      </c>
    </row>
    <row r="171" spans="1:61" x14ac:dyDescent="0.25">
      <c r="A171" s="40" t="s">
        <v>386</v>
      </c>
      <c r="B171" s="41">
        <v>3</v>
      </c>
      <c r="C171" s="40" t="s">
        <v>66</v>
      </c>
      <c r="D171" t="s">
        <v>56</v>
      </c>
      <c r="E171" s="6"/>
      <c r="F171" s="7">
        <v>4</v>
      </c>
      <c r="G171" s="8"/>
      <c r="H171" s="9"/>
      <c r="J171" s="10"/>
      <c r="K171" s="11"/>
      <c r="L171" s="12">
        <v>2</v>
      </c>
      <c r="M171" s="13"/>
      <c r="O171" s="6"/>
      <c r="P171" s="7"/>
      <c r="Q171" s="8"/>
      <c r="R171" s="9">
        <v>6</v>
      </c>
      <c r="T171" s="10"/>
      <c r="U171" s="11"/>
      <c r="V171" s="12"/>
      <c r="W171" s="13"/>
      <c r="Y171" s="6"/>
      <c r="Z171" s="7"/>
      <c r="AA171" s="8"/>
      <c r="AB171" s="9"/>
      <c r="AD171" s="10"/>
      <c r="AE171" s="11"/>
      <c r="AF171" s="12"/>
      <c r="AG171" s="13"/>
      <c r="AI171" s="6"/>
      <c r="AJ171" s="7"/>
      <c r="AK171" s="8"/>
      <c r="AL171" s="9"/>
      <c r="AN171" s="10"/>
      <c r="AO171" s="11"/>
      <c r="AP171" s="12"/>
      <c r="AQ171" s="13"/>
      <c r="AS171" s="6"/>
      <c r="AT171" s="7"/>
      <c r="AU171" s="8"/>
      <c r="AV171" s="9"/>
      <c r="AX171" s="10"/>
      <c r="AY171" s="11"/>
      <c r="AZ171" s="12"/>
      <c r="BA171" s="13"/>
      <c r="BC171" s="6"/>
      <c r="BD171" s="7"/>
      <c r="BE171" s="8"/>
      <c r="BF171" s="9"/>
      <c r="BG171" s="4"/>
      <c r="BH171" s="46">
        <f t="shared" si="14"/>
        <v>12</v>
      </c>
      <c r="BI171" s="47">
        <f t="shared" si="15"/>
        <v>3.5999999999999996</v>
      </c>
    </row>
    <row r="172" spans="1:61" x14ac:dyDescent="0.25">
      <c r="A172" s="40" t="s">
        <v>323</v>
      </c>
      <c r="B172" s="41">
        <v>3</v>
      </c>
      <c r="C172" s="40" t="s">
        <v>66</v>
      </c>
      <c r="D172" t="s">
        <v>56</v>
      </c>
      <c r="E172" s="6"/>
      <c r="F172" s="7">
        <v>2</v>
      </c>
      <c r="G172" s="8">
        <v>3</v>
      </c>
      <c r="H172" s="9">
        <v>2</v>
      </c>
      <c r="J172" s="10"/>
      <c r="K172" s="11"/>
      <c r="L172" s="12"/>
      <c r="M172" s="13"/>
      <c r="O172" s="6"/>
      <c r="P172" s="7"/>
      <c r="Q172" s="8"/>
      <c r="R172" s="9">
        <v>5</v>
      </c>
      <c r="T172" s="10"/>
      <c r="U172" s="11"/>
      <c r="V172" s="12"/>
      <c r="W172" s="13">
        <v>4</v>
      </c>
      <c r="Y172" s="6"/>
      <c r="Z172" s="7"/>
      <c r="AA172" s="8"/>
      <c r="AB172" s="9">
        <v>4</v>
      </c>
      <c r="AD172" s="10"/>
      <c r="AE172" s="11"/>
      <c r="AF172" s="12"/>
      <c r="AG172" s="13">
        <v>5</v>
      </c>
      <c r="AI172" s="6"/>
      <c r="AJ172" s="7">
        <v>2</v>
      </c>
      <c r="AK172" s="8"/>
      <c r="AL172" s="9"/>
      <c r="AN172" s="10"/>
      <c r="AO172" s="11"/>
      <c r="AP172" s="12"/>
      <c r="AQ172" s="13"/>
      <c r="AS172" s="6"/>
      <c r="AT172" s="7"/>
      <c r="AU172" s="8"/>
      <c r="AV172" s="9"/>
      <c r="AX172" s="10"/>
      <c r="AY172" s="11"/>
      <c r="AZ172" s="12"/>
      <c r="BA172" s="13"/>
      <c r="BC172" s="6"/>
      <c r="BD172" s="7"/>
      <c r="BE172" s="8"/>
      <c r="BF172" s="9"/>
      <c r="BG172" s="4"/>
      <c r="BH172" s="46">
        <f t="shared" si="14"/>
        <v>27</v>
      </c>
      <c r="BI172" s="47">
        <f t="shared" si="15"/>
        <v>8.1</v>
      </c>
    </row>
    <row r="173" spans="1:61" x14ac:dyDescent="0.25">
      <c r="A173" s="40" t="s">
        <v>322</v>
      </c>
      <c r="B173" s="41">
        <v>3</v>
      </c>
      <c r="C173" s="40" t="s">
        <v>66</v>
      </c>
      <c r="D173" t="s">
        <v>56</v>
      </c>
      <c r="E173" s="6"/>
      <c r="F173" s="7"/>
      <c r="G173" s="8"/>
      <c r="H173" s="9">
        <v>5</v>
      </c>
      <c r="J173" s="10"/>
      <c r="K173" s="11"/>
      <c r="L173" s="12"/>
      <c r="M173" s="13">
        <v>4</v>
      </c>
      <c r="O173" s="6"/>
      <c r="P173" s="7"/>
      <c r="Q173" s="8"/>
      <c r="R173" s="9">
        <v>1</v>
      </c>
      <c r="T173" s="10"/>
      <c r="U173" s="11"/>
      <c r="V173" s="12"/>
      <c r="W173" s="13"/>
      <c r="Y173" s="6"/>
      <c r="Z173" s="7"/>
      <c r="AA173" s="8"/>
      <c r="AB173" s="9"/>
      <c r="AD173" s="10"/>
      <c r="AE173" s="11"/>
      <c r="AF173" s="12">
        <v>2</v>
      </c>
      <c r="AG173" s="13">
        <v>5</v>
      </c>
      <c r="AI173" s="6"/>
      <c r="AJ173" s="7">
        <v>3</v>
      </c>
      <c r="AK173" s="8"/>
      <c r="AL173" s="9"/>
      <c r="AN173" s="10"/>
      <c r="AO173" s="11"/>
      <c r="AP173" s="12"/>
      <c r="AQ173" s="13"/>
      <c r="AS173" s="6"/>
      <c r="AT173" s="7"/>
      <c r="AU173" s="8"/>
      <c r="AV173" s="9"/>
      <c r="AX173" s="10"/>
      <c r="AY173" s="11"/>
      <c r="AZ173" s="12"/>
      <c r="BA173" s="13"/>
      <c r="BC173" s="6"/>
      <c r="BD173" s="7"/>
      <c r="BE173" s="8"/>
      <c r="BF173" s="9"/>
      <c r="BG173" s="4"/>
      <c r="BH173" s="46">
        <f t="shared" si="14"/>
        <v>20</v>
      </c>
      <c r="BI173" s="47">
        <f t="shared" si="15"/>
        <v>6</v>
      </c>
    </row>
    <row r="174" spans="1:61" x14ac:dyDescent="0.25">
      <c r="A174" s="40" t="s">
        <v>321</v>
      </c>
      <c r="B174" s="41">
        <v>3</v>
      </c>
      <c r="C174" s="40" t="s">
        <v>66</v>
      </c>
      <c r="D174" t="s">
        <v>56</v>
      </c>
      <c r="E174" s="6"/>
      <c r="F174" s="7">
        <v>3</v>
      </c>
      <c r="G174" s="8">
        <v>4</v>
      </c>
      <c r="H174" s="9">
        <v>6</v>
      </c>
      <c r="J174" s="10"/>
      <c r="K174" s="11"/>
      <c r="L174" s="12">
        <v>6</v>
      </c>
      <c r="M174" s="13">
        <v>4</v>
      </c>
      <c r="O174" s="6">
        <v>4</v>
      </c>
      <c r="P174" s="7">
        <v>4</v>
      </c>
      <c r="Q174" s="8">
        <v>4</v>
      </c>
      <c r="R174" s="9">
        <v>4</v>
      </c>
      <c r="T174" s="10"/>
      <c r="U174" s="11"/>
      <c r="V174" s="12"/>
      <c r="W174" s="13"/>
      <c r="Y174" s="6"/>
      <c r="Z174" s="7"/>
      <c r="AA174" s="8"/>
      <c r="AB174" s="9"/>
      <c r="AD174" s="10">
        <v>4</v>
      </c>
      <c r="AE174" s="11"/>
      <c r="AF174" s="12">
        <v>4</v>
      </c>
      <c r="AG174" s="13">
        <v>6</v>
      </c>
      <c r="AI174" s="6">
        <v>4</v>
      </c>
      <c r="AJ174" s="7">
        <v>2</v>
      </c>
      <c r="AK174" s="8"/>
      <c r="AL174" s="9"/>
      <c r="AN174" s="10"/>
      <c r="AO174" s="11"/>
      <c r="AP174" s="12"/>
      <c r="AQ174" s="13"/>
      <c r="AS174" s="6"/>
      <c r="AT174" s="7"/>
      <c r="AU174" s="8"/>
      <c r="AV174" s="9"/>
      <c r="AX174" s="10"/>
      <c r="AY174" s="11"/>
      <c r="AZ174" s="12"/>
      <c r="BA174" s="13"/>
      <c r="BC174" s="6"/>
      <c r="BD174" s="7"/>
      <c r="BE174" s="8"/>
      <c r="BF174" s="9"/>
      <c r="BG174" s="4"/>
      <c r="BH174" s="46">
        <f t="shared" ref="BH174:BH224" si="28">SUM(E174:BF174)</f>
        <v>59</v>
      </c>
      <c r="BI174" s="47">
        <f t="shared" ref="BI174:BI224" si="29">(SUM(E174:BG174)*$D$2)</f>
        <v>17.7</v>
      </c>
    </row>
    <row r="175" spans="1:61" x14ac:dyDescent="0.25">
      <c r="A175" s="40" t="s">
        <v>387</v>
      </c>
      <c r="B175" s="41">
        <v>3</v>
      </c>
      <c r="C175" s="40" t="s">
        <v>66</v>
      </c>
      <c r="D175" t="s">
        <v>56</v>
      </c>
      <c r="E175" s="6"/>
      <c r="F175" s="7"/>
      <c r="G175" s="8"/>
      <c r="H175" s="9"/>
      <c r="J175" s="10"/>
      <c r="K175" s="11"/>
      <c r="L175" s="12"/>
      <c r="M175" s="13"/>
      <c r="O175" s="6"/>
      <c r="P175" s="7"/>
      <c r="Q175" s="8"/>
      <c r="R175" s="9"/>
      <c r="T175" s="10"/>
      <c r="U175" s="11"/>
      <c r="V175" s="12"/>
      <c r="W175" s="13"/>
      <c r="Y175" s="6"/>
      <c r="Z175" s="7"/>
      <c r="AA175" s="8"/>
      <c r="AB175" s="9"/>
      <c r="AD175" s="10"/>
      <c r="AE175" s="11"/>
      <c r="AF175" s="12">
        <v>3</v>
      </c>
      <c r="AG175" s="13">
        <v>7</v>
      </c>
      <c r="AI175" s="6">
        <v>2</v>
      </c>
      <c r="AJ175" s="7">
        <v>3</v>
      </c>
      <c r="AK175" s="8"/>
      <c r="AL175" s="9"/>
      <c r="AN175" s="10"/>
      <c r="AO175" s="11"/>
      <c r="AP175" s="12"/>
      <c r="AQ175" s="13"/>
      <c r="AS175" s="6"/>
      <c r="AT175" s="7"/>
      <c r="AU175" s="8"/>
      <c r="AV175" s="9"/>
      <c r="AX175" s="10"/>
      <c r="AY175" s="11"/>
      <c r="AZ175" s="12"/>
      <c r="BA175" s="13"/>
      <c r="BC175" s="6"/>
      <c r="BD175" s="7"/>
      <c r="BE175" s="8"/>
      <c r="BF175" s="9"/>
      <c r="BG175" s="4"/>
      <c r="BH175" s="46">
        <f t="shared" ref="BH175" si="30">SUM(E175:BF175)</f>
        <v>15</v>
      </c>
      <c r="BI175" s="47">
        <f t="shared" ref="BI175" si="31">(SUM(E175:BG175)*$D$2)</f>
        <v>4.5</v>
      </c>
    </row>
    <row r="176" spans="1:61" x14ac:dyDescent="0.25">
      <c r="A176" s="40" t="s">
        <v>422</v>
      </c>
      <c r="B176" s="41">
        <v>3</v>
      </c>
      <c r="C176" s="40" t="s">
        <v>66</v>
      </c>
      <c r="D176" t="s">
        <v>56</v>
      </c>
      <c r="E176" s="6"/>
      <c r="F176" s="7"/>
      <c r="G176" s="8"/>
      <c r="H176" s="9"/>
      <c r="J176" s="10"/>
      <c r="K176" s="11"/>
      <c r="L176" s="12"/>
      <c r="M176" s="13"/>
      <c r="O176" s="6">
        <v>3</v>
      </c>
      <c r="P176" s="7">
        <v>4</v>
      </c>
      <c r="Q176" s="8">
        <v>4</v>
      </c>
      <c r="R176" s="9">
        <v>6</v>
      </c>
      <c r="T176" s="10"/>
      <c r="U176" s="11">
        <v>4</v>
      </c>
      <c r="V176" s="12"/>
      <c r="W176" s="13">
        <v>5</v>
      </c>
      <c r="Y176" s="6">
        <v>4</v>
      </c>
      <c r="Z176" s="7">
        <v>4</v>
      </c>
      <c r="AA176" s="8"/>
      <c r="AB176" s="9">
        <v>5</v>
      </c>
      <c r="AD176" s="10"/>
      <c r="AE176" s="11"/>
      <c r="AF176" s="12"/>
      <c r="AG176" s="13">
        <v>6</v>
      </c>
      <c r="AI176" s="6">
        <v>4</v>
      </c>
      <c r="AJ176" s="7"/>
      <c r="AK176" s="8"/>
      <c r="AL176" s="9"/>
      <c r="AN176" s="10"/>
      <c r="AO176" s="11"/>
      <c r="AP176" s="12"/>
      <c r="AQ176" s="13"/>
      <c r="AS176" s="6"/>
      <c r="AT176" s="7"/>
      <c r="AU176" s="8"/>
      <c r="AV176" s="9"/>
      <c r="AX176" s="10"/>
      <c r="AY176" s="11"/>
      <c r="AZ176" s="12"/>
      <c r="BA176" s="13"/>
      <c r="BC176" s="6"/>
      <c r="BD176" s="7"/>
      <c r="BE176" s="8"/>
      <c r="BF176" s="9"/>
      <c r="BG176" s="4"/>
      <c r="BH176" s="46">
        <f t="shared" si="28"/>
        <v>49</v>
      </c>
      <c r="BI176" s="47">
        <f t="shared" si="29"/>
        <v>14.7</v>
      </c>
    </row>
    <row r="177" spans="1:61" x14ac:dyDescent="0.25">
      <c r="A177" s="40" t="s">
        <v>319</v>
      </c>
      <c r="B177" s="41">
        <v>4</v>
      </c>
      <c r="C177" s="40" t="s">
        <v>66</v>
      </c>
      <c r="D177" t="s">
        <v>58</v>
      </c>
      <c r="E177" s="6">
        <v>4</v>
      </c>
      <c r="F177" s="7">
        <v>4</v>
      </c>
      <c r="G177" s="8"/>
      <c r="H177" s="9">
        <v>4</v>
      </c>
      <c r="J177" s="10"/>
      <c r="K177" s="11"/>
      <c r="L177" s="12">
        <v>3</v>
      </c>
      <c r="M177" s="13">
        <v>4</v>
      </c>
      <c r="O177" s="6">
        <v>4</v>
      </c>
      <c r="P177" s="7">
        <v>4</v>
      </c>
      <c r="Q177" s="8">
        <v>4</v>
      </c>
      <c r="R177" s="9">
        <v>10</v>
      </c>
      <c r="T177" s="10"/>
      <c r="U177" s="11"/>
      <c r="V177" s="12"/>
      <c r="W177" s="13">
        <v>12</v>
      </c>
      <c r="Y177" s="6"/>
      <c r="Z177" s="7"/>
      <c r="AA177" s="8"/>
      <c r="AB177" s="9">
        <v>7</v>
      </c>
      <c r="AD177" s="10"/>
      <c r="AE177" s="11"/>
      <c r="AF177" s="12"/>
      <c r="AG177" s="13">
        <v>8</v>
      </c>
      <c r="AI177" s="6"/>
      <c r="AJ177" s="7"/>
      <c r="AK177" s="8"/>
      <c r="AL177" s="9"/>
      <c r="AN177" s="10"/>
      <c r="AO177" s="11"/>
      <c r="AP177" s="12"/>
      <c r="AQ177" s="13"/>
      <c r="AS177" s="6"/>
      <c r="AT177" s="7"/>
      <c r="AU177" s="8"/>
      <c r="AV177" s="9"/>
      <c r="AX177" s="10"/>
      <c r="AY177" s="11"/>
      <c r="AZ177" s="12"/>
      <c r="BA177" s="13"/>
      <c r="BC177" s="6"/>
      <c r="BD177" s="7"/>
      <c r="BE177" s="8"/>
      <c r="BF177" s="9"/>
      <c r="BG177" s="4"/>
      <c r="BH177" s="46">
        <f t="shared" si="28"/>
        <v>68</v>
      </c>
      <c r="BI177" s="47">
        <f t="shared" si="29"/>
        <v>20.399999999999999</v>
      </c>
    </row>
    <row r="178" spans="1:61" x14ac:dyDescent="0.25">
      <c r="A178" s="40" t="s">
        <v>318</v>
      </c>
      <c r="B178" s="41">
        <v>4</v>
      </c>
      <c r="C178" s="40" t="s">
        <v>66</v>
      </c>
      <c r="D178" t="s">
        <v>58</v>
      </c>
      <c r="E178" s="6">
        <v>4</v>
      </c>
      <c r="F178" s="7">
        <v>4</v>
      </c>
      <c r="G178" s="8">
        <v>4</v>
      </c>
      <c r="H178" s="9">
        <v>4</v>
      </c>
      <c r="J178" s="10"/>
      <c r="K178" s="11"/>
      <c r="L178" s="12"/>
      <c r="M178" s="13"/>
      <c r="O178" s="6">
        <v>5</v>
      </c>
      <c r="P178" s="7">
        <v>4</v>
      </c>
      <c r="Q178" s="8"/>
      <c r="R178" s="9">
        <v>9</v>
      </c>
      <c r="T178" s="10"/>
      <c r="U178" s="11"/>
      <c r="V178" s="12"/>
      <c r="W178" s="13">
        <v>4</v>
      </c>
      <c r="Y178" s="6"/>
      <c r="Z178" s="7"/>
      <c r="AA178" s="8"/>
      <c r="AB178" s="9">
        <v>6</v>
      </c>
      <c r="AD178" s="10"/>
      <c r="AE178" s="11"/>
      <c r="AF178" s="12"/>
      <c r="AG178" s="13">
        <v>6</v>
      </c>
      <c r="AI178" s="6"/>
      <c r="AJ178" s="7"/>
      <c r="AK178" s="8"/>
      <c r="AL178" s="9"/>
      <c r="AN178" s="10"/>
      <c r="AO178" s="11"/>
      <c r="AP178" s="12"/>
      <c r="AQ178" s="13"/>
      <c r="AS178" s="6"/>
      <c r="AT178" s="7"/>
      <c r="AU178" s="8"/>
      <c r="AV178" s="9"/>
      <c r="AX178" s="10"/>
      <c r="AY178" s="11"/>
      <c r="AZ178" s="12"/>
      <c r="BA178" s="13"/>
      <c r="BC178" s="6"/>
      <c r="BD178" s="7"/>
      <c r="BE178" s="8"/>
      <c r="BF178" s="9"/>
      <c r="BG178" s="4"/>
      <c r="BH178" s="46">
        <f t="shared" si="28"/>
        <v>50</v>
      </c>
      <c r="BI178" s="47">
        <f t="shared" si="29"/>
        <v>15</v>
      </c>
    </row>
    <row r="179" spans="1:61" x14ac:dyDescent="0.25">
      <c r="A179" s="40" t="s">
        <v>317</v>
      </c>
      <c r="B179" s="41">
        <v>5</v>
      </c>
      <c r="C179" s="40" t="s">
        <v>66</v>
      </c>
      <c r="D179" t="s">
        <v>58</v>
      </c>
      <c r="E179" s="6"/>
      <c r="F179" s="7"/>
      <c r="G179" s="8"/>
      <c r="H179" s="9">
        <v>2</v>
      </c>
      <c r="J179" s="10"/>
      <c r="K179" s="11"/>
      <c r="L179" s="12"/>
      <c r="M179" s="13"/>
      <c r="O179" s="6"/>
      <c r="P179" s="7"/>
      <c r="Q179" s="8"/>
      <c r="R179" s="9"/>
      <c r="T179" s="10"/>
      <c r="U179" s="11"/>
      <c r="V179" s="12"/>
      <c r="W179" s="13"/>
      <c r="Y179" s="6"/>
      <c r="Z179" s="7"/>
      <c r="AA179" s="8"/>
      <c r="AB179" s="9"/>
      <c r="AD179" s="10"/>
      <c r="AE179" s="11"/>
      <c r="AF179" s="12"/>
      <c r="AG179" s="13"/>
      <c r="AI179" s="6"/>
      <c r="AJ179" s="7"/>
      <c r="AK179" s="8"/>
      <c r="AL179" s="9"/>
      <c r="AN179" s="10"/>
      <c r="AO179" s="11"/>
      <c r="AP179" s="12"/>
      <c r="AQ179" s="13"/>
      <c r="AS179" s="6"/>
      <c r="AT179" s="7"/>
      <c r="AU179" s="8"/>
      <c r="AV179" s="9"/>
      <c r="AX179" s="10"/>
      <c r="AY179" s="11"/>
      <c r="AZ179" s="12"/>
      <c r="BA179" s="13"/>
      <c r="BC179" s="6"/>
      <c r="BD179" s="7"/>
      <c r="BE179" s="8"/>
      <c r="BF179" s="9"/>
      <c r="BG179" s="4"/>
      <c r="BH179" s="46">
        <f t="shared" si="28"/>
        <v>2</v>
      </c>
      <c r="BI179" s="47">
        <f t="shared" si="29"/>
        <v>0.6</v>
      </c>
    </row>
    <row r="180" spans="1:61" x14ac:dyDescent="0.25">
      <c r="A180" s="40" t="s">
        <v>316</v>
      </c>
      <c r="B180" s="41">
        <v>5</v>
      </c>
      <c r="C180" s="40" t="s">
        <v>66</v>
      </c>
      <c r="D180" t="s">
        <v>58</v>
      </c>
      <c r="E180" s="6"/>
      <c r="F180" s="7"/>
      <c r="G180" s="8">
        <v>3</v>
      </c>
      <c r="H180" s="9"/>
      <c r="J180" s="10"/>
      <c r="K180" s="11"/>
      <c r="L180" s="12"/>
      <c r="M180" s="13"/>
      <c r="O180" s="6"/>
      <c r="P180" s="7"/>
      <c r="Q180" s="8"/>
      <c r="R180" s="9">
        <v>4</v>
      </c>
      <c r="T180" s="10"/>
      <c r="U180" s="11"/>
      <c r="V180" s="12"/>
      <c r="W180" s="13">
        <v>5</v>
      </c>
      <c r="Y180" s="6"/>
      <c r="Z180" s="7"/>
      <c r="AA180" s="8"/>
      <c r="AB180" s="9">
        <v>7</v>
      </c>
      <c r="AD180" s="10"/>
      <c r="AE180" s="11"/>
      <c r="AF180" s="12"/>
      <c r="AG180" s="13">
        <v>8</v>
      </c>
      <c r="AI180" s="6"/>
      <c r="AJ180" s="7"/>
      <c r="AK180" s="8"/>
      <c r="AL180" s="9"/>
      <c r="AN180" s="10"/>
      <c r="AO180" s="11"/>
      <c r="AP180" s="12"/>
      <c r="AQ180" s="13"/>
      <c r="AS180" s="6"/>
      <c r="AT180" s="7"/>
      <c r="AU180" s="8"/>
      <c r="AV180" s="9"/>
      <c r="AX180" s="10"/>
      <c r="AY180" s="11"/>
      <c r="AZ180" s="12"/>
      <c r="BA180" s="13"/>
      <c r="BC180" s="6"/>
      <c r="BD180" s="7"/>
      <c r="BE180" s="8"/>
      <c r="BF180" s="9"/>
      <c r="BG180" s="4"/>
      <c r="BH180" s="46">
        <f t="shared" ref="BH180" si="32">SUM(E180:BF180)</f>
        <v>27</v>
      </c>
      <c r="BI180" s="47">
        <f t="shared" ref="BI180" si="33">(SUM(E180:BG180)*$D$2)</f>
        <v>8.1</v>
      </c>
    </row>
    <row r="181" spans="1:61" x14ac:dyDescent="0.25">
      <c r="A181" s="40" t="s">
        <v>424</v>
      </c>
      <c r="B181" s="41">
        <v>5</v>
      </c>
      <c r="C181" s="40" t="s">
        <v>66</v>
      </c>
      <c r="D181" t="s">
        <v>58</v>
      </c>
      <c r="E181" s="6"/>
      <c r="F181" s="7"/>
      <c r="G181" s="8"/>
      <c r="H181" s="9"/>
      <c r="J181" s="10"/>
      <c r="K181" s="11"/>
      <c r="L181" s="12"/>
      <c r="M181" s="13"/>
      <c r="O181" s="6"/>
      <c r="P181" s="7">
        <v>1</v>
      </c>
      <c r="Q181" s="8"/>
      <c r="R181" s="9">
        <v>3</v>
      </c>
      <c r="T181" s="10"/>
      <c r="U181" s="11"/>
      <c r="V181" s="12"/>
      <c r="W181" s="13"/>
      <c r="Y181" s="6"/>
      <c r="Z181" s="7">
        <v>1</v>
      </c>
      <c r="AA181" s="8"/>
      <c r="AB181" s="9">
        <v>3</v>
      </c>
      <c r="AD181" s="10"/>
      <c r="AE181" s="11"/>
      <c r="AF181" s="12"/>
      <c r="AG181" s="13">
        <v>5</v>
      </c>
      <c r="AI181" s="6">
        <v>1</v>
      </c>
      <c r="AJ181" s="7">
        <v>2</v>
      </c>
      <c r="AK181" s="8"/>
      <c r="AL181" s="9"/>
      <c r="AN181" s="10"/>
      <c r="AO181" s="11"/>
      <c r="AP181" s="12"/>
      <c r="AQ181" s="13"/>
      <c r="AS181" s="6"/>
      <c r="AT181" s="7"/>
      <c r="AU181" s="8"/>
      <c r="AV181" s="9"/>
      <c r="AX181" s="10"/>
      <c r="AY181" s="11"/>
      <c r="AZ181" s="12"/>
      <c r="BA181" s="13"/>
      <c r="BC181" s="6"/>
      <c r="BD181" s="7"/>
      <c r="BE181" s="8"/>
      <c r="BF181" s="9"/>
      <c r="BG181" s="4"/>
      <c r="BH181" s="46">
        <f t="shared" si="28"/>
        <v>16</v>
      </c>
      <c r="BI181" s="47">
        <f t="shared" si="29"/>
        <v>4.8</v>
      </c>
    </row>
    <row r="182" spans="1:61" x14ac:dyDescent="0.25">
      <c r="A182" s="40" t="s">
        <v>315</v>
      </c>
      <c r="B182" s="41">
        <v>4</v>
      </c>
      <c r="C182" s="40" t="s">
        <v>66</v>
      </c>
      <c r="D182" t="s">
        <v>55</v>
      </c>
      <c r="E182" s="6"/>
      <c r="F182" s="7"/>
      <c r="G182" s="8"/>
      <c r="H182" s="9">
        <v>2</v>
      </c>
      <c r="J182" s="10"/>
      <c r="K182" s="11"/>
      <c r="L182" s="12"/>
      <c r="M182" s="13"/>
      <c r="O182" s="6"/>
      <c r="P182" s="7"/>
      <c r="Q182" s="8"/>
      <c r="R182" s="9">
        <v>5</v>
      </c>
      <c r="T182" s="10"/>
      <c r="U182" s="11"/>
      <c r="V182" s="12"/>
      <c r="W182" s="13">
        <v>7</v>
      </c>
      <c r="Y182" s="6">
        <v>1</v>
      </c>
      <c r="Z182" s="7"/>
      <c r="AA182" s="8">
        <v>1</v>
      </c>
      <c r="AB182" s="9">
        <v>6</v>
      </c>
      <c r="AD182" s="10"/>
      <c r="AE182" s="11"/>
      <c r="AF182" s="12"/>
      <c r="AG182" s="13">
        <v>5</v>
      </c>
      <c r="AI182" s="6"/>
      <c r="AJ182" s="7">
        <v>1</v>
      </c>
      <c r="AK182" s="8"/>
      <c r="AL182" s="9"/>
      <c r="AN182" s="10"/>
      <c r="AO182" s="11"/>
      <c r="AP182" s="12"/>
      <c r="AQ182" s="13"/>
      <c r="AS182" s="6"/>
      <c r="AT182" s="7"/>
      <c r="AU182" s="8"/>
      <c r="AV182" s="9"/>
      <c r="AX182" s="10"/>
      <c r="AY182" s="11"/>
      <c r="AZ182" s="12"/>
      <c r="BA182" s="13"/>
      <c r="BC182" s="6"/>
      <c r="BD182" s="7"/>
      <c r="BE182" s="8"/>
      <c r="BF182" s="9"/>
      <c r="BG182" s="4"/>
      <c r="BH182" s="46">
        <f t="shared" si="28"/>
        <v>28</v>
      </c>
      <c r="BI182" s="47">
        <f t="shared" si="29"/>
        <v>8.4</v>
      </c>
    </row>
    <row r="183" spans="1:61" x14ac:dyDescent="0.25">
      <c r="A183" s="40" t="s">
        <v>314</v>
      </c>
      <c r="B183" s="41">
        <v>4</v>
      </c>
      <c r="C183" s="40" t="s">
        <v>66</v>
      </c>
      <c r="D183" t="s">
        <v>55</v>
      </c>
      <c r="E183" s="6"/>
      <c r="F183" s="7"/>
      <c r="G183" s="8"/>
      <c r="H183" s="9"/>
      <c r="J183" s="10"/>
      <c r="K183" s="11"/>
      <c r="L183" s="12"/>
      <c r="M183" s="13"/>
      <c r="O183" s="6"/>
      <c r="P183" s="7">
        <v>2</v>
      </c>
      <c r="Q183" s="8">
        <v>6</v>
      </c>
      <c r="R183" s="9">
        <v>8</v>
      </c>
      <c r="T183" s="10"/>
      <c r="U183" s="11"/>
      <c r="V183" s="12"/>
      <c r="W183" s="13">
        <v>9</v>
      </c>
      <c r="Y183" s="6"/>
      <c r="Z183" s="7"/>
      <c r="AA183" s="8"/>
      <c r="AB183" s="9">
        <v>1</v>
      </c>
      <c r="AD183" s="10"/>
      <c r="AE183" s="11"/>
      <c r="AF183" s="12"/>
      <c r="AG183" s="13">
        <v>6</v>
      </c>
      <c r="AI183" s="6"/>
      <c r="AJ183" s="7"/>
      <c r="AK183" s="8"/>
      <c r="AL183" s="9"/>
      <c r="AN183" s="10"/>
      <c r="AO183" s="11"/>
      <c r="AP183" s="12"/>
      <c r="AQ183" s="13"/>
      <c r="AS183" s="6"/>
      <c r="AT183" s="7"/>
      <c r="AU183" s="8"/>
      <c r="AV183" s="9"/>
      <c r="AX183" s="10"/>
      <c r="AY183" s="11"/>
      <c r="AZ183" s="12"/>
      <c r="BA183" s="13"/>
      <c r="BC183" s="6"/>
      <c r="BD183" s="7"/>
      <c r="BE183" s="8"/>
      <c r="BF183" s="9"/>
      <c r="BG183" s="4"/>
      <c r="BH183" s="46">
        <f t="shared" si="28"/>
        <v>32</v>
      </c>
      <c r="BI183" s="47">
        <f t="shared" si="29"/>
        <v>9.6</v>
      </c>
    </row>
    <row r="184" spans="1:61" x14ac:dyDescent="0.25">
      <c r="A184" s="40" t="s">
        <v>313</v>
      </c>
      <c r="B184" s="41">
        <v>4</v>
      </c>
      <c r="C184" s="40" t="s">
        <v>66</v>
      </c>
      <c r="D184" t="s">
        <v>55</v>
      </c>
      <c r="E184" s="6"/>
      <c r="F184" s="7"/>
      <c r="G184" s="8"/>
      <c r="H184" s="9">
        <v>3</v>
      </c>
      <c r="J184" s="10"/>
      <c r="K184" s="11"/>
      <c r="L184" s="12"/>
      <c r="M184" s="13"/>
      <c r="O184" s="6">
        <v>2</v>
      </c>
      <c r="P184" s="7">
        <v>3</v>
      </c>
      <c r="Q184" s="8">
        <v>2</v>
      </c>
      <c r="R184" s="9">
        <v>9</v>
      </c>
      <c r="T184" s="10"/>
      <c r="U184" s="11">
        <v>5</v>
      </c>
      <c r="V184" s="12"/>
      <c r="W184" s="13">
        <v>7</v>
      </c>
      <c r="Y184" s="6"/>
      <c r="Z184" s="7">
        <v>2</v>
      </c>
      <c r="AA184" s="8">
        <v>3</v>
      </c>
      <c r="AB184" s="9">
        <v>8</v>
      </c>
      <c r="AD184" s="10">
        <v>6</v>
      </c>
      <c r="AE184" s="11"/>
      <c r="AF184" s="12">
        <v>4</v>
      </c>
      <c r="AG184" s="13">
        <v>7</v>
      </c>
      <c r="AI184" s="6">
        <v>4</v>
      </c>
      <c r="AJ184" s="7">
        <v>4</v>
      </c>
      <c r="AK184" s="8"/>
      <c r="AL184" s="9"/>
      <c r="AN184" s="10"/>
      <c r="AO184" s="11"/>
      <c r="AP184" s="12"/>
      <c r="AQ184" s="13"/>
      <c r="AS184" s="6"/>
      <c r="AT184" s="7"/>
      <c r="AU184" s="8"/>
      <c r="AV184" s="9"/>
      <c r="AX184" s="10"/>
      <c r="AY184" s="11"/>
      <c r="AZ184" s="12"/>
      <c r="BA184" s="13"/>
      <c r="BC184" s="6"/>
      <c r="BD184" s="7"/>
      <c r="BE184" s="8"/>
      <c r="BF184" s="9"/>
      <c r="BG184" s="4"/>
      <c r="BH184" s="46">
        <f t="shared" si="28"/>
        <v>69</v>
      </c>
      <c r="BI184" s="47">
        <f t="shared" si="29"/>
        <v>20.7</v>
      </c>
    </row>
    <row r="185" spans="1:61" x14ac:dyDescent="0.25">
      <c r="A185" s="40" t="s">
        <v>388</v>
      </c>
      <c r="B185" s="41">
        <v>4</v>
      </c>
      <c r="C185" s="40" t="s">
        <v>66</v>
      </c>
      <c r="D185" t="s">
        <v>55</v>
      </c>
      <c r="E185" s="6"/>
      <c r="F185" s="7"/>
      <c r="G185" s="8"/>
      <c r="H185" s="9">
        <v>6</v>
      </c>
      <c r="J185" s="10"/>
      <c r="K185" s="11"/>
      <c r="L185" s="12">
        <v>2</v>
      </c>
      <c r="M185" s="13"/>
      <c r="O185" s="6"/>
      <c r="P185" s="7"/>
      <c r="Q185" s="8"/>
      <c r="R185" s="9">
        <v>8</v>
      </c>
      <c r="T185" s="10"/>
      <c r="U185" s="11"/>
      <c r="V185" s="12"/>
      <c r="W185" s="13">
        <v>4</v>
      </c>
      <c r="Y185" s="6"/>
      <c r="Z185" s="7"/>
      <c r="AA185" s="8"/>
      <c r="AB185" s="9">
        <v>7</v>
      </c>
      <c r="AD185" s="10">
        <v>2</v>
      </c>
      <c r="AE185" s="11"/>
      <c r="AF185" s="12"/>
      <c r="AG185" s="13">
        <v>9</v>
      </c>
      <c r="AI185" s="6"/>
      <c r="AJ185" s="7"/>
      <c r="AK185" s="8"/>
      <c r="AL185" s="9"/>
      <c r="AN185" s="10"/>
      <c r="AO185" s="11"/>
      <c r="AP185" s="12"/>
      <c r="AQ185" s="13"/>
      <c r="AS185" s="6"/>
      <c r="AT185" s="7"/>
      <c r="AU185" s="8"/>
      <c r="AV185" s="9"/>
      <c r="AX185" s="10"/>
      <c r="AY185" s="11"/>
      <c r="AZ185" s="12"/>
      <c r="BA185" s="13"/>
      <c r="BC185" s="6"/>
      <c r="BD185" s="7"/>
      <c r="BE185" s="8"/>
      <c r="BF185" s="9"/>
      <c r="BG185" s="4"/>
      <c r="BH185" s="46">
        <f t="shared" si="28"/>
        <v>38</v>
      </c>
      <c r="BI185" s="47">
        <f t="shared" si="29"/>
        <v>11.4</v>
      </c>
    </row>
    <row r="186" spans="1:61" x14ac:dyDescent="0.25">
      <c r="A186" s="40" t="s">
        <v>311</v>
      </c>
      <c r="B186" s="41">
        <v>4</v>
      </c>
      <c r="C186" s="40" t="s">
        <v>66</v>
      </c>
      <c r="D186" t="s">
        <v>55</v>
      </c>
      <c r="E186" s="6"/>
      <c r="F186" s="7"/>
      <c r="G186" s="8"/>
      <c r="H186" s="9">
        <v>3</v>
      </c>
      <c r="J186" s="10"/>
      <c r="K186" s="11"/>
      <c r="L186" s="12"/>
      <c r="M186" s="13"/>
      <c r="O186" s="6"/>
      <c r="P186" s="7"/>
      <c r="Q186" s="8"/>
      <c r="R186" s="9">
        <v>7</v>
      </c>
      <c r="T186" s="10"/>
      <c r="U186" s="11"/>
      <c r="V186" s="12"/>
      <c r="W186" s="13">
        <v>9</v>
      </c>
      <c r="Y186" s="6">
        <v>6</v>
      </c>
      <c r="Z186" s="7"/>
      <c r="AA186" s="8">
        <v>1</v>
      </c>
      <c r="AB186" s="9">
        <v>7</v>
      </c>
      <c r="AD186" s="10"/>
      <c r="AE186" s="11"/>
      <c r="AF186" s="12"/>
      <c r="AG186" s="13">
        <v>5</v>
      </c>
      <c r="AI186" s="6"/>
      <c r="AJ186" s="7"/>
      <c r="AK186" s="8"/>
      <c r="AL186" s="9"/>
      <c r="AN186" s="10"/>
      <c r="AO186" s="11"/>
      <c r="AP186" s="12"/>
      <c r="AQ186" s="13"/>
      <c r="AS186" s="6"/>
      <c r="AT186" s="7"/>
      <c r="AU186" s="8"/>
      <c r="AV186" s="9"/>
      <c r="AX186" s="10"/>
      <c r="AY186" s="11"/>
      <c r="AZ186" s="12"/>
      <c r="BA186" s="13"/>
      <c r="BC186" s="6"/>
      <c r="BD186" s="7"/>
      <c r="BE186" s="8"/>
      <c r="BF186" s="9"/>
      <c r="BG186" s="4"/>
      <c r="BH186" s="46">
        <f t="shared" si="28"/>
        <v>38</v>
      </c>
      <c r="BI186" s="47">
        <f t="shared" si="29"/>
        <v>11.4</v>
      </c>
    </row>
    <row r="187" spans="1:61" x14ac:dyDescent="0.25">
      <c r="A187" s="40" t="s">
        <v>310</v>
      </c>
      <c r="B187" s="41">
        <v>4</v>
      </c>
      <c r="C187" s="40" t="s">
        <v>66</v>
      </c>
      <c r="D187" t="s">
        <v>55</v>
      </c>
      <c r="E187" s="6"/>
      <c r="F187" s="7"/>
      <c r="G187" s="8"/>
      <c r="H187" s="9">
        <v>3</v>
      </c>
      <c r="J187" s="10"/>
      <c r="K187" s="11"/>
      <c r="L187" s="12"/>
      <c r="M187" s="13"/>
      <c r="O187" s="6"/>
      <c r="P187" s="7"/>
      <c r="Q187" s="8"/>
      <c r="R187" s="9">
        <v>1</v>
      </c>
      <c r="T187" s="10"/>
      <c r="U187" s="11"/>
      <c r="V187" s="12"/>
      <c r="W187" s="13">
        <v>7</v>
      </c>
      <c r="Y187" s="6"/>
      <c r="Z187" s="7"/>
      <c r="AA187" s="8"/>
      <c r="AB187" s="9">
        <v>3</v>
      </c>
      <c r="AD187" s="10">
        <v>5</v>
      </c>
      <c r="AE187" s="11"/>
      <c r="AF187" s="12">
        <v>3</v>
      </c>
      <c r="AG187" s="13">
        <v>8</v>
      </c>
      <c r="AI187" s="6">
        <v>2</v>
      </c>
      <c r="AJ187" s="7">
        <v>2</v>
      </c>
      <c r="AK187" s="8"/>
      <c r="AL187" s="9"/>
      <c r="AN187" s="10"/>
      <c r="AO187" s="11"/>
      <c r="AP187" s="12"/>
      <c r="AQ187" s="13"/>
      <c r="AS187" s="6"/>
      <c r="AT187" s="7"/>
      <c r="AU187" s="8"/>
      <c r="AV187" s="9"/>
      <c r="AX187" s="10"/>
      <c r="AY187" s="11"/>
      <c r="AZ187" s="12"/>
      <c r="BA187" s="13"/>
      <c r="BC187" s="6"/>
      <c r="BD187" s="7"/>
      <c r="BE187" s="8"/>
      <c r="BF187" s="9"/>
      <c r="BG187" s="4"/>
      <c r="BH187" s="46">
        <f t="shared" si="28"/>
        <v>34</v>
      </c>
      <c r="BI187" s="47">
        <f t="shared" si="29"/>
        <v>10.199999999999999</v>
      </c>
    </row>
    <row r="188" spans="1:61" x14ac:dyDescent="0.25">
      <c r="A188" s="40" t="s">
        <v>309</v>
      </c>
      <c r="B188" s="41">
        <v>4</v>
      </c>
      <c r="C188" s="40" t="s">
        <v>66</v>
      </c>
      <c r="D188" t="s">
        <v>55</v>
      </c>
      <c r="E188" s="6"/>
      <c r="F188" s="7"/>
      <c r="G188" s="8"/>
      <c r="H188" s="9"/>
      <c r="J188" s="10"/>
      <c r="K188" s="11"/>
      <c r="L188" s="12"/>
      <c r="M188" s="13"/>
      <c r="O188" s="6"/>
      <c r="P188" s="7"/>
      <c r="Q188" s="8"/>
      <c r="R188" s="9"/>
      <c r="T188" s="10"/>
      <c r="U188" s="11"/>
      <c r="V188" s="12"/>
      <c r="W188" s="13"/>
      <c r="Y188" s="6"/>
      <c r="Z188" s="7"/>
      <c r="AA188" s="8">
        <v>4</v>
      </c>
      <c r="AB188" s="9"/>
      <c r="AD188" s="10"/>
      <c r="AE188" s="11"/>
      <c r="AF188" s="12">
        <v>2</v>
      </c>
      <c r="AG188" s="13"/>
      <c r="AI188" s="6"/>
      <c r="AJ188" s="7"/>
      <c r="AK188" s="8"/>
      <c r="AL188" s="9"/>
      <c r="AN188" s="10"/>
      <c r="AO188" s="11"/>
      <c r="AP188" s="12"/>
      <c r="AQ188" s="13"/>
      <c r="AS188" s="6"/>
      <c r="AT188" s="7"/>
      <c r="AU188" s="8"/>
      <c r="AV188" s="9"/>
      <c r="AX188" s="10"/>
      <c r="AY188" s="11"/>
      <c r="AZ188" s="12"/>
      <c r="BA188" s="13"/>
      <c r="BC188" s="6"/>
      <c r="BD188" s="7"/>
      <c r="BE188" s="8"/>
      <c r="BF188" s="9"/>
      <c r="BG188" s="4"/>
      <c r="BH188" s="46">
        <f t="shared" si="28"/>
        <v>6</v>
      </c>
      <c r="BI188" s="47">
        <f t="shared" si="29"/>
        <v>1.7999999999999998</v>
      </c>
    </row>
    <row r="189" spans="1:61" x14ac:dyDescent="0.25">
      <c r="A189" s="40" t="s">
        <v>389</v>
      </c>
      <c r="B189" s="41">
        <v>4</v>
      </c>
      <c r="C189" s="40" t="s">
        <v>66</v>
      </c>
      <c r="D189" t="s">
        <v>55</v>
      </c>
      <c r="E189" s="6"/>
      <c r="F189" s="7"/>
      <c r="G189" s="8"/>
      <c r="H189" s="9"/>
      <c r="J189" s="10"/>
      <c r="K189" s="11"/>
      <c r="L189" s="12"/>
      <c r="M189" s="13"/>
      <c r="O189" s="6"/>
      <c r="P189" s="7"/>
      <c r="Q189" s="8"/>
      <c r="R189" s="9">
        <v>3</v>
      </c>
      <c r="T189" s="10"/>
      <c r="U189" s="11"/>
      <c r="V189" s="12"/>
      <c r="W189" s="13">
        <v>2</v>
      </c>
      <c r="Y189" s="6"/>
      <c r="Z189" s="7"/>
      <c r="AA189" s="8"/>
      <c r="AB189" s="9">
        <v>1</v>
      </c>
      <c r="AD189" s="10"/>
      <c r="AE189" s="11"/>
      <c r="AF189" s="12"/>
      <c r="AG189" s="13">
        <v>1</v>
      </c>
      <c r="AI189" s="6"/>
      <c r="AJ189" s="7"/>
      <c r="AK189" s="8"/>
      <c r="AL189" s="9"/>
      <c r="AN189" s="10"/>
      <c r="AO189" s="11"/>
      <c r="AP189" s="12"/>
      <c r="AQ189" s="13"/>
      <c r="AS189" s="6"/>
      <c r="AT189" s="7"/>
      <c r="AU189" s="8"/>
      <c r="AV189" s="9"/>
      <c r="AX189" s="10"/>
      <c r="AY189" s="11"/>
      <c r="AZ189" s="12"/>
      <c r="BA189" s="13"/>
      <c r="BC189" s="6"/>
      <c r="BD189" s="7"/>
      <c r="BE189" s="8"/>
      <c r="BF189" s="9"/>
      <c r="BG189" s="4"/>
      <c r="BH189" s="46">
        <f t="shared" ref="BH189" si="34">SUM(E189:BF189)</f>
        <v>7</v>
      </c>
      <c r="BI189" s="47">
        <f t="shared" ref="BI189" si="35">(SUM(E189:BG189)*$D$2)</f>
        <v>2.1</v>
      </c>
    </row>
    <row r="190" spans="1:61" x14ac:dyDescent="0.25">
      <c r="A190" s="40" t="s">
        <v>307</v>
      </c>
      <c r="B190" s="41">
        <v>6</v>
      </c>
      <c r="C190" s="40" t="s">
        <v>66</v>
      </c>
      <c r="D190" t="s">
        <v>50</v>
      </c>
      <c r="E190" s="6"/>
      <c r="F190" s="7"/>
      <c r="G190" s="8"/>
      <c r="H190" s="9"/>
      <c r="J190" s="10"/>
      <c r="K190" s="11"/>
      <c r="L190" s="12"/>
      <c r="M190" s="13"/>
      <c r="O190" s="6"/>
      <c r="P190" s="7"/>
      <c r="Q190" s="8"/>
      <c r="R190" s="9">
        <v>9</v>
      </c>
      <c r="T190" s="10"/>
      <c r="U190" s="11"/>
      <c r="V190" s="12"/>
      <c r="W190" s="13"/>
      <c r="Y190" s="6"/>
      <c r="Z190" s="7"/>
      <c r="AA190" s="8"/>
      <c r="AB190" s="9"/>
      <c r="AD190" s="10"/>
      <c r="AE190" s="11"/>
      <c r="AF190" s="12"/>
      <c r="AG190" s="13"/>
      <c r="AI190" s="6"/>
      <c r="AJ190" s="7"/>
      <c r="AK190" s="8"/>
      <c r="AL190" s="9"/>
      <c r="AN190" s="10"/>
      <c r="AO190" s="11"/>
      <c r="AP190" s="12"/>
      <c r="AQ190" s="13"/>
      <c r="AS190" s="6"/>
      <c r="AT190" s="7"/>
      <c r="AU190" s="8"/>
      <c r="AV190" s="9"/>
      <c r="AX190" s="10"/>
      <c r="AY190" s="11"/>
      <c r="AZ190" s="12"/>
      <c r="BA190" s="13"/>
      <c r="BC190" s="6"/>
      <c r="BD190" s="7"/>
      <c r="BE190" s="8"/>
      <c r="BF190" s="9"/>
      <c r="BG190" s="4"/>
      <c r="BH190" s="46">
        <f t="shared" si="28"/>
        <v>9</v>
      </c>
      <c r="BI190" s="47">
        <f t="shared" si="29"/>
        <v>2.6999999999999997</v>
      </c>
    </row>
    <row r="191" spans="1:61" x14ac:dyDescent="0.25">
      <c r="A191" s="40" t="s">
        <v>306</v>
      </c>
      <c r="B191" s="41">
        <v>6</v>
      </c>
      <c r="C191" s="40" t="s">
        <v>66</v>
      </c>
      <c r="D191" t="s">
        <v>50</v>
      </c>
      <c r="E191" s="6">
        <v>3</v>
      </c>
      <c r="F191" s="7"/>
      <c r="G191" s="8"/>
      <c r="H191" s="9"/>
      <c r="J191" s="10"/>
      <c r="K191" s="11"/>
      <c r="L191" s="12"/>
      <c r="M191" s="13"/>
      <c r="O191" s="6"/>
      <c r="P191" s="7"/>
      <c r="Q191" s="8"/>
      <c r="R191" s="9">
        <v>6</v>
      </c>
      <c r="T191" s="10"/>
      <c r="U191" s="11">
        <v>5</v>
      </c>
      <c r="V191" s="12"/>
      <c r="W191" s="13">
        <v>7</v>
      </c>
      <c r="Y191" s="6">
        <v>5</v>
      </c>
      <c r="Z191" s="7"/>
      <c r="AA191" s="8"/>
      <c r="AB191" s="9">
        <v>5</v>
      </c>
      <c r="AD191" s="10">
        <v>2</v>
      </c>
      <c r="AE191" s="11"/>
      <c r="AF191" s="12">
        <v>3</v>
      </c>
      <c r="AG191" s="13">
        <v>3</v>
      </c>
      <c r="AI191" s="6">
        <v>2</v>
      </c>
      <c r="AJ191" s="7"/>
      <c r="AK191" s="8"/>
      <c r="AL191" s="9"/>
      <c r="AN191" s="10"/>
      <c r="AO191" s="11"/>
      <c r="AP191" s="12"/>
      <c r="AQ191" s="13"/>
      <c r="AS191" s="6"/>
      <c r="AT191" s="7"/>
      <c r="AU191" s="8"/>
      <c r="AV191" s="9"/>
      <c r="AX191" s="10"/>
      <c r="AY191" s="11"/>
      <c r="AZ191" s="12"/>
      <c r="BA191" s="13"/>
      <c r="BC191" s="6"/>
      <c r="BD191" s="7"/>
      <c r="BE191" s="8"/>
      <c r="BF191" s="9"/>
      <c r="BG191" s="4"/>
      <c r="BH191" s="46">
        <f t="shared" si="28"/>
        <v>41</v>
      </c>
      <c r="BI191" s="47">
        <f t="shared" si="29"/>
        <v>12.299999999999999</v>
      </c>
    </row>
    <row r="192" spans="1:61" x14ac:dyDescent="0.25">
      <c r="A192" s="40" t="s">
        <v>305</v>
      </c>
      <c r="B192" s="41">
        <v>6</v>
      </c>
      <c r="C192" s="40" t="s">
        <v>66</v>
      </c>
      <c r="D192" t="s">
        <v>51</v>
      </c>
      <c r="E192" s="6"/>
      <c r="F192" s="7"/>
      <c r="G192" s="8"/>
      <c r="H192" s="9">
        <v>3</v>
      </c>
      <c r="J192" s="10"/>
      <c r="K192" s="11"/>
      <c r="L192" s="12"/>
      <c r="M192" s="13"/>
      <c r="O192" s="6"/>
      <c r="P192" s="7"/>
      <c r="Q192" s="8">
        <v>3</v>
      </c>
      <c r="R192" s="9">
        <v>6</v>
      </c>
      <c r="T192" s="10"/>
      <c r="U192" s="11"/>
      <c r="V192" s="12"/>
      <c r="W192" s="13">
        <v>5</v>
      </c>
      <c r="Y192" s="6"/>
      <c r="Z192" s="7"/>
      <c r="AA192" s="8"/>
      <c r="AB192" s="9"/>
      <c r="AD192" s="10"/>
      <c r="AE192" s="11"/>
      <c r="AF192" s="12">
        <v>1</v>
      </c>
      <c r="AG192" s="13">
        <v>6</v>
      </c>
      <c r="AI192" s="6"/>
      <c r="AJ192" s="7"/>
      <c r="AK192" s="8"/>
      <c r="AL192" s="9"/>
      <c r="AN192" s="10"/>
      <c r="AO192" s="11"/>
      <c r="AP192" s="12"/>
      <c r="AQ192" s="13"/>
      <c r="AS192" s="6"/>
      <c r="AT192" s="7"/>
      <c r="AU192" s="8"/>
      <c r="AV192" s="9"/>
      <c r="AX192" s="10"/>
      <c r="AY192" s="11"/>
      <c r="AZ192" s="12"/>
      <c r="BA192" s="13"/>
      <c r="BC192" s="6"/>
      <c r="BD192" s="7"/>
      <c r="BE192" s="8"/>
      <c r="BF192" s="9"/>
      <c r="BG192" s="4"/>
      <c r="BH192" s="46">
        <f t="shared" si="28"/>
        <v>24</v>
      </c>
      <c r="BI192" s="47">
        <f t="shared" si="29"/>
        <v>7.1999999999999993</v>
      </c>
    </row>
    <row r="193" spans="1:61" x14ac:dyDescent="0.25">
      <c r="A193" s="40" t="s">
        <v>304</v>
      </c>
      <c r="B193" s="41">
        <v>6</v>
      </c>
      <c r="C193" s="40" t="s">
        <v>66</v>
      </c>
      <c r="D193" t="s">
        <v>51</v>
      </c>
      <c r="E193" s="6"/>
      <c r="F193" s="7">
        <v>4</v>
      </c>
      <c r="G193" s="8"/>
      <c r="H193" s="9">
        <v>3</v>
      </c>
      <c r="J193" s="10"/>
      <c r="K193" s="11"/>
      <c r="L193" s="12"/>
      <c r="M193" s="13"/>
      <c r="O193" s="6"/>
      <c r="P193" s="7"/>
      <c r="Q193" s="8"/>
      <c r="R193" s="9">
        <v>7</v>
      </c>
      <c r="T193" s="10"/>
      <c r="U193" s="11"/>
      <c r="V193" s="12"/>
      <c r="W193" s="13">
        <v>5</v>
      </c>
      <c r="Y193" s="6"/>
      <c r="Z193" s="7"/>
      <c r="AA193" s="8"/>
      <c r="AB193" s="9">
        <v>4</v>
      </c>
      <c r="AD193" s="10"/>
      <c r="AE193" s="11"/>
      <c r="AF193" s="12"/>
      <c r="AG193" s="13">
        <v>5</v>
      </c>
      <c r="AI193" s="6"/>
      <c r="AJ193" s="7"/>
      <c r="AK193" s="8"/>
      <c r="AL193" s="9"/>
      <c r="AN193" s="10"/>
      <c r="AO193" s="11"/>
      <c r="AP193" s="12"/>
      <c r="AQ193" s="13"/>
      <c r="AS193" s="6"/>
      <c r="AT193" s="7"/>
      <c r="AU193" s="8"/>
      <c r="AV193" s="9"/>
      <c r="AX193" s="10"/>
      <c r="AY193" s="11"/>
      <c r="AZ193" s="12"/>
      <c r="BA193" s="13"/>
      <c r="BC193" s="6"/>
      <c r="BD193" s="7"/>
      <c r="BE193" s="8"/>
      <c r="BF193" s="9"/>
      <c r="BG193" s="4"/>
      <c r="BH193" s="46">
        <f t="shared" si="28"/>
        <v>28</v>
      </c>
      <c r="BI193" s="47">
        <f t="shared" si="29"/>
        <v>8.4</v>
      </c>
    </row>
    <row r="194" spans="1:61" x14ac:dyDescent="0.25">
      <c r="A194" s="40" t="s">
        <v>303</v>
      </c>
      <c r="B194" s="41">
        <v>6</v>
      </c>
      <c r="C194" s="40" t="s">
        <v>66</v>
      </c>
      <c r="D194" t="s">
        <v>51</v>
      </c>
      <c r="E194" s="6">
        <v>3</v>
      </c>
      <c r="F194" s="7"/>
      <c r="G194" s="8"/>
      <c r="H194" s="9"/>
      <c r="J194" s="10"/>
      <c r="K194" s="11"/>
      <c r="L194" s="12">
        <v>3</v>
      </c>
      <c r="M194" s="13">
        <v>3</v>
      </c>
      <c r="O194" s="6">
        <v>2</v>
      </c>
      <c r="P194" s="7"/>
      <c r="Q194" s="8"/>
      <c r="R194" s="9">
        <v>6</v>
      </c>
      <c r="T194" s="10"/>
      <c r="U194" s="11"/>
      <c r="V194" s="12"/>
      <c r="W194" s="13"/>
      <c r="Y194" s="6"/>
      <c r="Z194" s="7"/>
      <c r="AA194" s="8"/>
      <c r="AB194" s="9">
        <v>4</v>
      </c>
      <c r="AD194" s="10">
        <v>3</v>
      </c>
      <c r="AE194" s="11"/>
      <c r="AF194" s="12">
        <v>3</v>
      </c>
      <c r="AG194" s="13">
        <v>6</v>
      </c>
      <c r="AI194" s="6"/>
      <c r="AJ194" s="7"/>
      <c r="AK194" s="8"/>
      <c r="AL194" s="9"/>
      <c r="AN194" s="10"/>
      <c r="AO194" s="11"/>
      <c r="AP194" s="12"/>
      <c r="AQ194" s="13"/>
      <c r="AS194" s="6"/>
      <c r="AT194" s="7"/>
      <c r="AU194" s="8"/>
      <c r="AV194" s="9"/>
      <c r="AX194" s="10"/>
      <c r="AY194" s="11"/>
      <c r="AZ194" s="12"/>
      <c r="BA194" s="13"/>
      <c r="BC194" s="6"/>
      <c r="BD194" s="7"/>
      <c r="BE194" s="8"/>
      <c r="BF194" s="9"/>
      <c r="BG194" s="4"/>
      <c r="BH194" s="46">
        <f t="shared" si="28"/>
        <v>33</v>
      </c>
      <c r="BI194" s="47">
        <f t="shared" si="29"/>
        <v>9.9</v>
      </c>
    </row>
    <row r="195" spans="1:61" x14ac:dyDescent="0.25">
      <c r="A195" s="40" t="s">
        <v>302</v>
      </c>
      <c r="B195" s="41">
        <v>8</v>
      </c>
      <c r="C195" s="40" t="s">
        <v>66</v>
      </c>
      <c r="D195" t="s">
        <v>57</v>
      </c>
      <c r="E195" s="6"/>
      <c r="F195" s="7"/>
      <c r="G195" s="8"/>
      <c r="H195" s="9"/>
      <c r="J195" s="10"/>
      <c r="K195" s="11"/>
      <c r="L195" s="12"/>
      <c r="M195" s="13"/>
      <c r="O195" s="6"/>
      <c r="P195" s="7"/>
      <c r="Q195" s="8"/>
      <c r="R195" s="9">
        <v>1</v>
      </c>
      <c r="T195" s="10"/>
      <c r="U195" s="11"/>
      <c r="V195" s="12"/>
      <c r="W195" s="13"/>
      <c r="Y195" s="6"/>
      <c r="Z195" s="7"/>
      <c r="AA195" s="8"/>
      <c r="AB195" s="9">
        <v>3</v>
      </c>
      <c r="AD195" s="10"/>
      <c r="AE195" s="11"/>
      <c r="AF195" s="12"/>
      <c r="AG195" s="13">
        <v>3</v>
      </c>
      <c r="AI195" s="6"/>
      <c r="AJ195" s="7"/>
      <c r="AK195" s="8"/>
      <c r="AL195" s="9"/>
      <c r="AN195" s="10"/>
      <c r="AO195" s="11"/>
      <c r="AP195" s="12"/>
      <c r="AQ195" s="13"/>
      <c r="AS195" s="6"/>
      <c r="AT195" s="7"/>
      <c r="AU195" s="8"/>
      <c r="AV195" s="9"/>
      <c r="AX195" s="10"/>
      <c r="AY195" s="11"/>
      <c r="AZ195" s="12"/>
      <c r="BA195" s="13"/>
      <c r="BC195" s="6"/>
      <c r="BD195" s="7"/>
      <c r="BE195" s="8"/>
      <c r="BF195" s="9"/>
      <c r="BG195" s="4"/>
      <c r="BH195" s="46">
        <f t="shared" si="28"/>
        <v>7</v>
      </c>
      <c r="BI195" s="47">
        <f t="shared" si="29"/>
        <v>2.1</v>
      </c>
    </row>
    <row r="196" spans="1:61" x14ac:dyDescent="0.25">
      <c r="A196" s="40" t="s">
        <v>390</v>
      </c>
      <c r="B196" s="41">
        <v>8</v>
      </c>
      <c r="C196" s="40" t="s">
        <v>66</v>
      </c>
      <c r="D196" t="s">
        <v>57</v>
      </c>
      <c r="E196" s="6"/>
      <c r="F196" s="7"/>
      <c r="G196" s="8">
        <v>4</v>
      </c>
      <c r="H196" s="9">
        <v>5</v>
      </c>
      <c r="J196" s="10"/>
      <c r="K196" s="11"/>
      <c r="L196" s="12">
        <v>8</v>
      </c>
      <c r="M196" s="13">
        <v>7</v>
      </c>
      <c r="O196" s="6">
        <v>3</v>
      </c>
      <c r="P196" s="7"/>
      <c r="Q196" s="8"/>
      <c r="R196" s="9"/>
      <c r="T196" s="10"/>
      <c r="U196" s="11">
        <v>2</v>
      </c>
      <c r="V196" s="12"/>
      <c r="W196" s="13">
        <v>5</v>
      </c>
      <c r="Y196" s="6"/>
      <c r="Z196" s="7">
        <v>6</v>
      </c>
      <c r="AA196" s="8">
        <v>4</v>
      </c>
      <c r="AB196" s="9">
        <v>5</v>
      </c>
      <c r="AD196" s="10">
        <v>8</v>
      </c>
      <c r="AE196" s="11"/>
      <c r="AF196" s="12"/>
      <c r="AG196" s="13"/>
      <c r="AI196" s="6"/>
      <c r="AJ196" s="7"/>
      <c r="AK196" s="8"/>
      <c r="AL196" s="9"/>
      <c r="AN196" s="10"/>
      <c r="AO196" s="11"/>
      <c r="AP196" s="12"/>
      <c r="AQ196" s="13"/>
      <c r="AS196" s="6"/>
      <c r="AT196" s="7"/>
      <c r="AU196" s="8"/>
      <c r="AV196" s="9"/>
      <c r="AX196" s="10"/>
      <c r="AY196" s="11"/>
      <c r="AZ196" s="12"/>
      <c r="BA196" s="13"/>
      <c r="BC196" s="6"/>
      <c r="BD196" s="7"/>
      <c r="BE196" s="8"/>
      <c r="BF196" s="9"/>
      <c r="BG196" s="4"/>
      <c r="BH196" s="46">
        <f t="shared" si="28"/>
        <v>57</v>
      </c>
      <c r="BI196" s="47">
        <f t="shared" si="29"/>
        <v>17.099999999999998</v>
      </c>
    </row>
    <row r="197" spans="1:61" x14ac:dyDescent="0.25">
      <c r="A197" s="40" t="s">
        <v>391</v>
      </c>
      <c r="B197" s="41">
        <v>8</v>
      </c>
      <c r="C197" s="40" t="s">
        <v>66</v>
      </c>
      <c r="D197" t="s">
        <v>57</v>
      </c>
      <c r="E197" s="6"/>
      <c r="F197" s="7"/>
      <c r="G197" s="8"/>
      <c r="H197" s="9"/>
      <c r="J197" s="10"/>
      <c r="K197" s="11"/>
      <c r="L197" s="12"/>
      <c r="M197" s="13"/>
      <c r="O197" s="6"/>
      <c r="P197" s="7"/>
      <c r="Q197" s="8"/>
      <c r="R197" s="9">
        <v>1</v>
      </c>
      <c r="T197" s="10"/>
      <c r="U197" s="11"/>
      <c r="V197" s="12"/>
      <c r="W197" s="13"/>
      <c r="Y197" s="6"/>
      <c r="Z197" s="7"/>
      <c r="AA197" s="8"/>
      <c r="AB197" s="9">
        <v>1</v>
      </c>
      <c r="AD197" s="10"/>
      <c r="AE197" s="11"/>
      <c r="AF197" s="12"/>
      <c r="AG197" s="13"/>
      <c r="AI197" s="6"/>
      <c r="AJ197" s="7"/>
      <c r="AK197" s="8"/>
      <c r="AL197" s="9"/>
      <c r="AN197" s="10"/>
      <c r="AO197" s="11"/>
      <c r="AP197" s="12"/>
      <c r="AQ197" s="13"/>
      <c r="AS197" s="6"/>
      <c r="AT197" s="7"/>
      <c r="AU197" s="8"/>
      <c r="AV197" s="9"/>
      <c r="AX197" s="10"/>
      <c r="AY197" s="11"/>
      <c r="AZ197" s="12"/>
      <c r="BA197" s="13"/>
      <c r="BC197" s="6"/>
      <c r="BD197" s="7"/>
      <c r="BE197" s="8"/>
      <c r="BF197" s="9"/>
      <c r="BG197" s="4"/>
      <c r="BH197" s="46">
        <f t="shared" si="28"/>
        <v>2</v>
      </c>
      <c r="BI197" s="47">
        <f t="shared" si="29"/>
        <v>0.6</v>
      </c>
    </row>
    <row r="198" spans="1:61" x14ac:dyDescent="0.25">
      <c r="A198" s="40" t="s">
        <v>392</v>
      </c>
      <c r="B198" s="41">
        <v>8</v>
      </c>
      <c r="C198" s="40" t="s">
        <v>66</v>
      </c>
      <c r="D198" t="s">
        <v>57</v>
      </c>
      <c r="E198" s="6"/>
      <c r="F198" s="7"/>
      <c r="G198" s="8"/>
      <c r="H198" s="9"/>
      <c r="J198" s="10"/>
      <c r="K198" s="11"/>
      <c r="L198" s="12"/>
      <c r="M198" s="13"/>
      <c r="O198" s="6"/>
      <c r="P198" s="7"/>
      <c r="Q198" s="8"/>
      <c r="R198" s="9">
        <v>1</v>
      </c>
      <c r="T198" s="10"/>
      <c r="U198" s="11"/>
      <c r="V198" s="12"/>
      <c r="W198" s="13">
        <v>5</v>
      </c>
      <c r="Y198" s="6">
        <v>5</v>
      </c>
      <c r="Z198" s="7">
        <v>3</v>
      </c>
      <c r="AA198" s="8">
        <v>4</v>
      </c>
      <c r="AB198" s="9"/>
      <c r="AD198" s="10"/>
      <c r="AE198" s="11"/>
      <c r="AF198" s="12">
        <v>4</v>
      </c>
      <c r="AG198" s="13"/>
      <c r="AI198" s="6"/>
      <c r="AJ198" s="7"/>
      <c r="AK198" s="8"/>
      <c r="AL198" s="9"/>
      <c r="AN198" s="10"/>
      <c r="AO198" s="11"/>
      <c r="AP198" s="12"/>
      <c r="AQ198" s="13"/>
      <c r="AS198" s="6"/>
      <c r="AT198" s="7"/>
      <c r="AU198" s="8"/>
      <c r="AV198" s="9"/>
      <c r="AX198" s="10"/>
      <c r="AY198" s="11"/>
      <c r="AZ198" s="12"/>
      <c r="BA198" s="13"/>
      <c r="BC198" s="6"/>
      <c r="BD198" s="7"/>
      <c r="BE198" s="8"/>
      <c r="BF198" s="9"/>
      <c r="BG198" s="4"/>
      <c r="BH198" s="46">
        <f t="shared" si="28"/>
        <v>22</v>
      </c>
      <c r="BI198" s="47">
        <f t="shared" si="29"/>
        <v>6.6</v>
      </c>
    </row>
    <row r="199" spans="1:61" x14ac:dyDescent="0.25">
      <c r="A199" s="40" t="s">
        <v>393</v>
      </c>
      <c r="B199" s="41">
        <v>8</v>
      </c>
      <c r="C199" s="40" t="s">
        <v>66</v>
      </c>
      <c r="D199" t="s">
        <v>57</v>
      </c>
      <c r="E199" s="6"/>
      <c r="F199" s="7"/>
      <c r="G199" s="8"/>
      <c r="H199" s="9"/>
      <c r="J199" s="10"/>
      <c r="K199" s="11"/>
      <c r="L199" s="12"/>
      <c r="M199" s="13"/>
      <c r="O199" s="6"/>
      <c r="P199" s="7"/>
      <c r="Q199" s="8"/>
      <c r="R199" s="9">
        <v>3</v>
      </c>
      <c r="T199" s="10"/>
      <c r="U199" s="11"/>
      <c r="V199" s="12"/>
      <c r="W199" s="13">
        <v>2</v>
      </c>
      <c r="Y199" s="6"/>
      <c r="Z199" s="7"/>
      <c r="AA199" s="8"/>
      <c r="AB199" s="9">
        <v>1</v>
      </c>
      <c r="AD199" s="10"/>
      <c r="AE199" s="11"/>
      <c r="AF199" s="12"/>
      <c r="AG199" s="13"/>
      <c r="AI199" s="6"/>
      <c r="AJ199" s="7"/>
      <c r="AK199" s="8"/>
      <c r="AL199" s="9"/>
      <c r="AN199" s="10"/>
      <c r="AO199" s="11"/>
      <c r="AP199" s="12"/>
      <c r="AQ199" s="13"/>
      <c r="AS199" s="6"/>
      <c r="AT199" s="7"/>
      <c r="AU199" s="8"/>
      <c r="AV199" s="9"/>
      <c r="AX199" s="10"/>
      <c r="AY199" s="11"/>
      <c r="AZ199" s="12"/>
      <c r="BA199" s="13"/>
      <c r="BC199" s="6"/>
      <c r="BD199" s="7"/>
      <c r="BE199" s="8"/>
      <c r="BF199" s="9"/>
      <c r="BG199" s="4"/>
      <c r="BH199" s="46">
        <f t="shared" si="28"/>
        <v>6</v>
      </c>
      <c r="BI199" s="47">
        <f t="shared" si="29"/>
        <v>1.7999999999999998</v>
      </c>
    </row>
    <row r="200" spans="1:61" x14ac:dyDescent="0.25">
      <c r="A200" s="40" t="s">
        <v>394</v>
      </c>
      <c r="B200" s="41">
        <v>9</v>
      </c>
      <c r="C200" s="40" t="s">
        <v>66</v>
      </c>
      <c r="D200" t="s">
        <v>57</v>
      </c>
      <c r="E200" s="6"/>
      <c r="F200" s="7"/>
      <c r="G200" s="8"/>
      <c r="H200" s="9"/>
      <c r="J200" s="10"/>
      <c r="K200" s="11"/>
      <c r="L200" s="12"/>
      <c r="M200" s="13"/>
      <c r="O200" s="6"/>
      <c r="P200" s="7"/>
      <c r="Q200" s="8"/>
      <c r="R200" s="9">
        <v>1</v>
      </c>
      <c r="T200" s="10"/>
      <c r="U200" s="11"/>
      <c r="V200" s="12"/>
      <c r="W200" s="13"/>
      <c r="Y200" s="6"/>
      <c r="Z200" s="7"/>
      <c r="AA200" s="8"/>
      <c r="AB200" s="9">
        <v>3</v>
      </c>
      <c r="AD200" s="10"/>
      <c r="AE200" s="11"/>
      <c r="AF200" s="12"/>
      <c r="AG200" s="13"/>
      <c r="AI200" s="6"/>
      <c r="AJ200" s="7"/>
      <c r="AK200" s="8"/>
      <c r="AL200" s="9"/>
      <c r="AN200" s="10"/>
      <c r="AO200" s="11"/>
      <c r="AP200" s="12"/>
      <c r="AQ200" s="13"/>
      <c r="AS200" s="6"/>
      <c r="AT200" s="7"/>
      <c r="AU200" s="8"/>
      <c r="AV200" s="9"/>
      <c r="AX200" s="10"/>
      <c r="AY200" s="11"/>
      <c r="AZ200" s="12"/>
      <c r="BA200" s="13"/>
      <c r="BC200" s="6"/>
      <c r="BD200" s="7"/>
      <c r="BE200" s="8"/>
      <c r="BF200" s="9"/>
      <c r="BG200" s="4"/>
      <c r="BH200" s="46">
        <f t="shared" si="28"/>
        <v>4</v>
      </c>
      <c r="BI200" s="47">
        <f t="shared" si="29"/>
        <v>1.2</v>
      </c>
    </row>
    <row r="201" spans="1:61" x14ac:dyDescent="0.25">
      <c r="A201" s="40" t="s">
        <v>395</v>
      </c>
      <c r="B201" s="41">
        <v>9</v>
      </c>
      <c r="C201" s="40" t="s">
        <v>66</v>
      </c>
      <c r="D201" t="s">
        <v>57</v>
      </c>
      <c r="E201" s="6"/>
      <c r="F201" s="7"/>
      <c r="G201" s="8"/>
      <c r="H201" s="9"/>
      <c r="J201" s="10"/>
      <c r="K201" s="11"/>
      <c r="L201" s="12"/>
      <c r="M201" s="13">
        <v>2</v>
      </c>
      <c r="O201" s="6"/>
      <c r="P201" s="7">
        <v>2</v>
      </c>
      <c r="Q201" s="8">
        <v>2</v>
      </c>
      <c r="R201" s="9">
        <v>8</v>
      </c>
      <c r="T201" s="10"/>
      <c r="U201" s="11"/>
      <c r="V201" s="12"/>
      <c r="W201" s="13">
        <v>4</v>
      </c>
      <c r="Y201" s="6">
        <v>2</v>
      </c>
      <c r="Z201" s="7">
        <v>2</v>
      </c>
      <c r="AA201" s="8"/>
      <c r="AB201" s="9">
        <v>6</v>
      </c>
      <c r="AD201" s="10"/>
      <c r="AE201" s="11"/>
      <c r="AF201" s="12"/>
      <c r="AG201" s="13"/>
      <c r="AI201" s="6"/>
      <c r="AJ201" s="7"/>
      <c r="AK201" s="8"/>
      <c r="AL201" s="9"/>
      <c r="AN201" s="10"/>
      <c r="AO201" s="11"/>
      <c r="AP201" s="12"/>
      <c r="AQ201" s="13"/>
      <c r="AS201" s="6"/>
      <c r="AT201" s="7"/>
      <c r="AU201" s="8"/>
      <c r="AV201" s="9"/>
      <c r="AX201" s="10"/>
      <c r="AY201" s="11"/>
      <c r="AZ201" s="12"/>
      <c r="BA201" s="13"/>
      <c r="BC201" s="6"/>
      <c r="BD201" s="7"/>
      <c r="BE201" s="8"/>
      <c r="BF201" s="9"/>
      <c r="BG201" s="4"/>
      <c r="BH201" s="46">
        <f t="shared" si="28"/>
        <v>28</v>
      </c>
      <c r="BI201" s="47">
        <f t="shared" si="29"/>
        <v>8.4</v>
      </c>
    </row>
    <row r="202" spans="1:61" x14ac:dyDescent="0.25">
      <c r="A202" s="40" t="s">
        <v>396</v>
      </c>
      <c r="B202" s="41">
        <v>9</v>
      </c>
      <c r="C202" s="40" t="s">
        <v>66</v>
      </c>
      <c r="D202" t="s">
        <v>57</v>
      </c>
      <c r="E202" s="6"/>
      <c r="F202" s="7"/>
      <c r="G202" s="8"/>
      <c r="H202" s="9"/>
      <c r="J202" s="10"/>
      <c r="K202" s="11"/>
      <c r="L202" s="12"/>
      <c r="M202" s="13"/>
      <c r="O202" s="6"/>
      <c r="P202" s="7"/>
      <c r="Q202" s="8"/>
      <c r="R202" s="9"/>
      <c r="T202" s="10"/>
      <c r="U202" s="11"/>
      <c r="V202" s="12"/>
      <c r="W202" s="13"/>
      <c r="Y202" s="6"/>
      <c r="Z202" s="7"/>
      <c r="AA202" s="8"/>
      <c r="AB202" s="9"/>
      <c r="AD202" s="10"/>
      <c r="AE202" s="11"/>
      <c r="AF202" s="12"/>
      <c r="AG202" s="13"/>
      <c r="AI202" s="6"/>
      <c r="AJ202" s="7"/>
      <c r="AK202" s="8"/>
      <c r="AL202" s="9"/>
      <c r="AN202" s="10"/>
      <c r="AO202" s="11"/>
      <c r="AP202" s="12"/>
      <c r="AQ202" s="13"/>
      <c r="AS202" s="6"/>
      <c r="AT202" s="7"/>
      <c r="AU202" s="8"/>
      <c r="AV202" s="9"/>
      <c r="AX202" s="10"/>
      <c r="AY202" s="11"/>
      <c r="AZ202" s="12"/>
      <c r="BA202" s="13"/>
      <c r="BC202" s="6"/>
      <c r="BD202" s="7"/>
      <c r="BE202" s="8"/>
      <c r="BF202" s="9"/>
      <c r="BG202" s="4"/>
      <c r="BH202" s="46">
        <f t="shared" si="28"/>
        <v>0</v>
      </c>
      <c r="BI202" s="47">
        <f t="shared" si="29"/>
        <v>0</v>
      </c>
    </row>
    <row r="203" spans="1:61" x14ac:dyDescent="0.25">
      <c r="A203" s="40" t="s">
        <v>397</v>
      </c>
      <c r="B203" s="41">
        <v>9</v>
      </c>
      <c r="C203" s="40" t="s">
        <v>66</v>
      </c>
      <c r="D203" t="s">
        <v>57</v>
      </c>
      <c r="E203" s="6"/>
      <c r="F203" s="7"/>
      <c r="G203" s="8"/>
      <c r="H203" s="9"/>
      <c r="J203" s="10"/>
      <c r="K203" s="11"/>
      <c r="L203" s="12"/>
      <c r="M203" s="13"/>
      <c r="O203" s="6"/>
      <c r="P203" s="7"/>
      <c r="Q203" s="8"/>
      <c r="R203" s="9"/>
      <c r="T203" s="10"/>
      <c r="U203" s="11"/>
      <c r="V203" s="12"/>
      <c r="W203" s="13"/>
      <c r="Y203" s="6"/>
      <c r="Z203" s="7"/>
      <c r="AA203" s="8"/>
      <c r="AB203" s="9">
        <v>1</v>
      </c>
      <c r="AD203" s="10"/>
      <c r="AE203" s="11"/>
      <c r="AF203" s="12"/>
      <c r="AG203" s="13"/>
      <c r="AI203" s="6"/>
      <c r="AJ203" s="7"/>
      <c r="AK203" s="8"/>
      <c r="AL203" s="9"/>
      <c r="AN203" s="10"/>
      <c r="AO203" s="11"/>
      <c r="AP203" s="12"/>
      <c r="AQ203" s="13"/>
      <c r="AS203" s="6"/>
      <c r="AT203" s="7"/>
      <c r="AU203" s="8"/>
      <c r="AV203" s="9"/>
      <c r="AX203" s="10"/>
      <c r="AY203" s="11"/>
      <c r="AZ203" s="12"/>
      <c r="BA203" s="13"/>
      <c r="BC203" s="6"/>
      <c r="BD203" s="7"/>
      <c r="BE203" s="8"/>
      <c r="BF203" s="9"/>
      <c r="BG203" s="4"/>
      <c r="BH203" s="46">
        <f t="shared" si="28"/>
        <v>1</v>
      </c>
      <c r="BI203" s="47">
        <f t="shared" si="29"/>
        <v>0.3</v>
      </c>
    </row>
    <row r="204" spans="1:61" x14ac:dyDescent="0.25">
      <c r="A204" s="40" t="s">
        <v>294</v>
      </c>
      <c r="B204" s="41">
        <v>1</v>
      </c>
      <c r="C204" s="40" t="s">
        <v>66</v>
      </c>
      <c r="D204" t="s">
        <v>62</v>
      </c>
      <c r="E204" s="6"/>
      <c r="F204" s="7"/>
      <c r="G204" s="8"/>
      <c r="H204" s="9"/>
      <c r="J204" s="10"/>
      <c r="K204" s="11"/>
      <c r="L204" s="12"/>
      <c r="M204" s="13"/>
      <c r="O204" s="6">
        <v>1</v>
      </c>
      <c r="P204" s="7">
        <v>2</v>
      </c>
      <c r="Q204" s="8">
        <v>1</v>
      </c>
      <c r="R204" s="9">
        <v>4</v>
      </c>
      <c r="T204" s="10"/>
      <c r="U204" s="11">
        <v>2</v>
      </c>
      <c r="V204" s="12"/>
      <c r="W204" s="13"/>
      <c r="Y204" s="6">
        <v>4</v>
      </c>
      <c r="Z204" s="7">
        <v>1</v>
      </c>
      <c r="AA204" s="8"/>
      <c r="AB204" s="9">
        <v>4</v>
      </c>
      <c r="AD204" s="10">
        <v>3</v>
      </c>
      <c r="AE204" s="11"/>
      <c r="AF204" s="12"/>
      <c r="AG204" s="13">
        <v>2</v>
      </c>
      <c r="AI204" s="6"/>
      <c r="AJ204" s="7">
        <v>2</v>
      </c>
      <c r="AK204" s="8"/>
      <c r="AL204" s="9"/>
      <c r="AN204" s="10"/>
      <c r="AO204" s="11"/>
      <c r="AP204" s="12"/>
      <c r="AQ204" s="13"/>
      <c r="AS204" s="6"/>
      <c r="AT204" s="7"/>
      <c r="AU204" s="8"/>
      <c r="AV204" s="9"/>
      <c r="AX204" s="10"/>
      <c r="AY204" s="11"/>
      <c r="AZ204" s="12"/>
      <c r="BA204" s="13"/>
      <c r="BC204" s="6"/>
      <c r="BD204" s="7"/>
      <c r="BE204" s="8"/>
      <c r="BF204" s="9"/>
      <c r="BG204" s="4"/>
      <c r="BH204" s="46">
        <f t="shared" ref="BH204" si="36">SUM(E204:BF204)</f>
        <v>26</v>
      </c>
      <c r="BI204" s="47">
        <f t="shared" ref="BI204" si="37">(SUM(E204:BG204)*$D$2)</f>
        <v>7.8</v>
      </c>
    </row>
    <row r="205" spans="1:61" x14ac:dyDescent="0.25">
      <c r="A205" s="40" t="s">
        <v>353</v>
      </c>
      <c r="B205" s="41">
        <v>1</v>
      </c>
      <c r="C205" s="40" t="s">
        <v>66</v>
      </c>
      <c r="D205" t="s">
        <v>62</v>
      </c>
      <c r="E205" s="6"/>
      <c r="F205" s="7"/>
      <c r="G205" s="8">
        <v>1</v>
      </c>
      <c r="H205" s="9"/>
      <c r="J205" s="10"/>
      <c r="K205" s="11"/>
      <c r="L205" s="12"/>
      <c r="M205" s="13"/>
      <c r="O205" s="6"/>
      <c r="P205" s="7"/>
      <c r="Q205" s="8"/>
      <c r="R205" s="9">
        <v>1</v>
      </c>
      <c r="T205" s="10"/>
      <c r="U205" s="11"/>
      <c r="V205" s="12"/>
      <c r="W205" s="13"/>
      <c r="Y205" s="6"/>
      <c r="Z205" s="7"/>
      <c r="AA205" s="8"/>
      <c r="AB205" s="9"/>
      <c r="AD205" s="10"/>
      <c r="AE205" s="11"/>
      <c r="AF205" s="12"/>
      <c r="AG205" s="13"/>
      <c r="AI205" s="6"/>
      <c r="AJ205" s="7"/>
      <c r="AK205" s="8"/>
      <c r="AL205" s="9"/>
      <c r="AN205" s="10"/>
      <c r="AO205" s="11"/>
      <c r="AP205" s="12"/>
      <c r="AQ205" s="13"/>
      <c r="AS205" s="6"/>
      <c r="AT205" s="7"/>
      <c r="AU205" s="8"/>
      <c r="AV205" s="9"/>
      <c r="AX205" s="10"/>
      <c r="AY205" s="11"/>
      <c r="AZ205" s="12"/>
      <c r="BA205" s="13"/>
      <c r="BC205" s="6"/>
      <c r="BD205" s="7"/>
      <c r="BE205" s="8"/>
      <c r="BF205" s="9"/>
      <c r="BG205" s="4"/>
      <c r="BH205" s="46">
        <f t="shared" si="28"/>
        <v>2</v>
      </c>
      <c r="BI205" s="47">
        <f t="shared" si="29"/>
        <v>0.6</v>
      </c>
    </row>
    <row r="206" spans="1:61" x14ac:dyDescent="0.25">
      <c r="A206" s="40" t="s">
        <v>293</v>
      </c>
      <c r="B206" s="41">
        <v>1</v>
      </c>
      <c r="C206" s="40" t="s">
        <v>66</v>
      </c>
      <c r="D206" t="s">
        <v>62</v>
      </c>
      <c r="E206" s="6"/>
      <c r="F206" s="7"/>
      <c r="G206" s="8"/>
      <c r="H206" s="9"/>
      <c r="J206" s="10"/>
      <c r="K206" s="11"/>
      <c r="L206" s="12"/>
      <c r="M206" s="13"/>
      <c r="O206" s="6"/>
      <c r="P206" s="7"/>
      <c r="Q206" s="8"/>
      <c r="R206" s="9"/>
      <c r="T206" s="10"/>
      <c r="U206" s="11"/>
      <c r="V206" s="12"/>
      <c r="W206" s="13"/>
      <c r="Y206" s="6"/>
      <c r="Z206" s="7">
        <v>2</v>
      </c>
      <c r="AA206" s="8"/>
      <c r="AB206" s="9">
        <v>6</v>
      </c>
      <c r="AD206" s="10">
        <v>4</v>
      </c>
      <c r="AE206" s="11"/>
      <c r="AF206" s="12">
        <v>3</v>
      </c>
      <c r="AG206" s="13"/>
      <c r="AI206" s="6"/>
      <c r="AJ206" s="7"/>
      <c r="AK206" s="8"/>
      <c r="AL206" s="9"/>
      <c r="AN206" s="10"/>
      <c r="AO206" s="11"/>
      <c r="AP206" s="12"/>
      <c r="AQ206" s="13"/>
      <c r="AS206" s="6"/>
      <c r="AT206" s="7"/>
      <c r="AU206" s="8"/>
      <c r="AV206" s="9"/>
      <c r="AX206" s="10"/>
      <c r="AY206" s="11"/>
      <c r="AZ206" s="12"/>
      <c r="BA206" s="13"/>
      <c r="BC206" s="6"/>
      <c r="BD206" s="7"/>
      <c r="BE206" s="8"/>
      <c r="BF206" s="9"/>
      <c r="BG206" s="4"/>
      <c r="BH206" s="46">
        <f t="shared" si="28"/>
        <v>15</v>
      </c>
      <c r="BI206" s="47">
        <f t="shared" si="29"/>
        <v>4.5</v>
      </c>
    </row>
    <row r="207" spans="1:61" x14ac:dyDescent="0.25">
      <c r="A207" s="40" t="s">
        <v>398</v>
      </c>
      <c r="B207" s="41">
        <v>1</v>
      </c>
      <c r="C207" s="40" t="s">
        <v>66</v>
      </c>
      <c r="D207" t="s">
        <v>62</v>
      </c>
      <c r="E207" s="6"/>
      <c r="F207" s="7"/>
      <c r="G207" s="8"/>
      <c r="H207" s="9"/>
      <c r="J207" s="10"/>
      <c r="K207" s="11"/>
      <c r="L207" s="12"/>
      <c r="M207" s="13"/>
      <c r="O207" s="6"/>
      <c r="P207" s="7"/>
      <c r="Q207" s="8"/>
      <c r="R207" s="9">
        <v>8</v>
      </c>
      <c r="T207" s="10"/>
      <c r="U207" s="11"/>
      <c r="V207" s="12"/>
      <c r="W207" s="13"/>
      <c r="Y207" s="6"/>
      <c r="Z207" s="7"/>
      <c r="AA207" s="8"/>
      <c r="AB207" s="9">
        <v>7</v>
      </c>
      <c r="AD207" s="10"/>
      <c r="AE207" s="11"/>
      <c r="AF207" s="12"/>
      <c r="AG207" s="13">
        <v>2</v>
      </c>
      <c r="AI207" s="6"/>
      <c r="AJ207" s="7"/>
      <c r="AK207" s="8"/>
      <c r="AL207" s="9"/>
      <c r="AN207" s="10"/>
      <c r="AO207" s="11"/>
      <c r="AP207" s="12"/>
      <c r="AQ207" s="13"/>
      <c r="AS207" s="6"/>
      <c r="AT207" s="7"/>
      <c r="AU207" s="8"/>
      <c r="AV207" s="9"/>
      <c r="AX207" s="10"/>
      <c r="AY207" s="11"/>
      <c r="AZ207" s="12"/>
      <c r="BA207" s="13"/>
      <c r="BC207" s="6"/>
      <c r="BD207" s="7"/>
      <c r="BE207" s="8"/>
      <c r="BF207" s="9"/>
      <c r="BG207" s="4"/>
      <c r="BH207" s="46">
        <f t="shared" si="28"/>
        <v>17</v>
      </c>
      <c r="BI207" s="47">
        <f t="shared" si="29"/>
        <v>5.0999999999999996</v>
      </c>
    </row>
    <row r="208" spans="1:61" x14ac:dyDescent="0.25">
      <c r="A208" s="40" t="s">
        <v>399</v>
      </c>
      <c r="B208" s="41">
        <v>1</v>
      </c>
      <c r="C208" s="40" t="s">
        <v>66</v>
      </c>
      <c r="D208" t="s">
        <v>62</v>
      </c>
      <c r="E208" s="6">
        <v>1</v>
      </c>
      <c r="F208" s="7"/>
      <c r="G208" s="8">
        <v>1</v>
      </c>
      <c r="H208" s="9">
        <v>1</v>
      </c>
      <c r="J208" s="10"/>
      <c r="K208" s="11"/>
      <c r="L208" s="12"/>
      <c r="M208" s="13"/>
      <c r="O208" s="6"/>
      <c r="P208" s="7"/>
      <c r="Q208" s="8"/>
      <c r="R208" s="9"/>
      <c r="T208" s="10"/>
      <c r="U208" s="11"/>
      <c r="V208" s="12"/>
      <c r="W208" s="13"/>
      <c r="Y208" s="6">
        <v>2</v>
      </c>
      <c r="Z208" s="7">
        <v>4</v>
      </c>
      <c r="AA208" s="8"/>
      <c r="AB208" s="9">
        <v>1</v>
      </c>
      <c r="AD208" s="10">
        <v>2</v>
      </c>
      <c r="AE208" s="11"/>
      <c r="AF208" s="12">
        <v>2</v>
      </c>
      <c r="AG208" s="13"/>
      <c r="AI208" s="6"/>
      <c r="AJ208" s="7">
        <v>1</v>
      </c>
      <c r="AK208" s="8"/>
      <c r="AL208" s="9"/>
      <c r="AN208" s="10"/>
      <c r="AO208" s="11"/>
      <c r="AP208" s="12"/>
      <c r="AQ208" s="13"/>
      <c r="AS208" s="6"/>
      <c r="AT208" s="7"/>
      <c r="AU208" s="8"/>
      <c r="AV208" s="9"/>
      <c r="AX208" s="10"/>
      <c r="AY208" s="11"/>
      <c r="AZ208" s="12"/>
      <c r="BA208" s="13"/>
      <c r="BC208" s="6"/>
      <c r="BD208" s="7"/>
      <c r="BE208" s="8"/>
      <c r="BF208" s="9"/>
      <c r="BG208" s="4"/>
      <c r="BH208" s="46">
        <f t="shared" si="28"/>
        <v>15</v>
      </c>
      <c r="BI208" s="47">
        <f t="shared" si="29"/>
        <v>4.5</v>
      </c>
    </row>
    <row r="209" spans="1:61" x14ac:dyDescent="0.25">
      <c r="A209" s="40" t="s">
        <v>351</v>
      </c>
      <c r="B209" s="41">
        <v>1</v>
      </c>
      <c r="C209" s="40" t="s">
        <v>66</v>
      </c>
      <c r="D209" t="s">
        <v>62</v>
      </c>
      <c r="E209" s="6"/>
      <c r="F209" s="7">
        <v>1</v>
      </c>
      <c r="G209" s="8">
        <v>1</v>
      </c>
      <c r="H209" s="9"/>
      <c r="J209" s="10"/>
      <c r="K209" s="11"/>
      <c r="L209" s="12"/>
      <c r="M209" s="13"/>
      <c r="O209" s="6"/>
      <c r="P209" s="7"/>
      <c r="Q209" s="8"/>
      <c r="R209" s="9">
        <v>1</v>
      </c>
      <c r="T209" s="10"/>
      <c r="U209" s="11"/>
      <c r="V209" s="12"/>
      <c r="W209" s="13"/>
      <c r="Y209" s="6"/>
      <c r="Z209" s="7"/>
      <c r="AA209" s="8"/>
      <c r="AB209" s="9">
        <v>3</v>
      </c>
      <c r="AD209" s="10"/>
      <c r="AE209" s="11"/>
      <c r="AF209" s="12"/>
      <c r="AG209" s="13"/>
      <c r="AI209" s="6"/>
      <c r="AJ209" s="7"/>
      <c r="AK209" s="8"/>
      <c r="AL209" s="9"/>
      <c r="AN209" s="10"/>
      <c r="AO209" s="11"/>
      <c r="AP209" s="12"/>
      <c r="AQ209" s="13"/>
      <c r="AS209" s="6"/>
      <c r="AT209" s="7"/>
      <c r="AU209" s="8"/>
      <c r="AV209" s="9"/>
      <c r="AX209" s="10"/>
      <c r="AY209" s="11"/>
      <c r="AZ209" s="12"/>
      <c r="BA209" s="13"/>
      <c r="BC209" s="6"/>
      <c r="BD209" s="7"/>
      <c r="BE209" s="8"/>
      <c r="BF209" s="9"/>
      <c r="BG209" s="4"/>
      <c r="BH209" s="46">
        <f t="shared" si="28"/>
        <v>6</v>
      </c>
      <c r="BI209" s="47">
        <f t="shared" si="29"/>
        <v>1.7999999999999998</v>
      </c>
    </row>
    <row r="210" spans="1:61" x14ac:dyDescent="0.25">
      <c r="A210" s="40" t="s">
        <v>291</v>
      </c>
      <c r="B210" s="40" t="s">
        <v>53</v>
      </c>
      <c r="C210" s="40" t="s">
        <v>66</v>
      </c>
      <c r="D210" t="s">
        <v>62</v>
      </c>
      <c r="E210" s="6"/>
      <c r="F210" s="7"/>
      <c r="G210" s="8"/>
      <c r="H210" s="9"/>
      <c r="J210" s="10"/>
      <c r="K210" s="11"/>
      <c r="L210" s="12"/>
      <c r="M210" s="13"/>
      <c r="O210" s="6">
        <v>7</v>
      </c>
      <c r="P210" s="7"/>
      <c r="Q210" s="8">
        <v>5</v>
      </c>
      <c r="R210" s="9">
        <v>6</v>
      </c>
      <c r="T210" s="10"/>
      <c r="U210" s="11">
        <v>3</v>
      </c>
      <c r="V210" s="12"/>
      <c r="W210" s="13"/>
      <c r="Y210" s="6">
        <v>2</v>
      </c>
      <c r="Z210" s="7"/>
      <c r="AA210" s="8"/>
      <c r="AB210" s="9">
        <v>4</v>
      </c>
      <c r="AD210" s="10"/>
      <c r="AE210" s="11"/>
      <c r="AF210" s="12"/>
      <c r="AG210" s="13"/>
      <c r="AI210" s="6"/>
      <c r="AJ210" s="7"/>
      <c r="AK210" s="8"/>
      <c r="AL210" s="9"/>
      <c r="AN210" s="10"/>
      <c r="AO210" s="11"/>
      <c r="AP210" s="12"/>
      <c r="AQ210" s="13"/>
      <c r="AS210" s="6"/>
      <c r="AT210" s="7"/>
      <c r="AU210" s="8"/>
      <c r="AV210" s="9"/>
      <c r="AX210" s="10"/>
      <c r="AY210" s="11"/>
      <c r="AZ210" s="12"/>
      <c r="BA210" s="13"/>
      <c r="BC210" s="6"/>
      <c r="BD210" s="7"/>
      <c r="BE210" s="8"/>
      <c r="BF210" s="9"/>
      <c r="BG210" s="4"/>
      <c r="BH210" s="46">
        <f t="shared" si="28"/>
        <v>27</v>
      </c>
      <c r="BI210" s="47">
        <f t="shared" si="29"/>
        <v>8.1</v>
      </c>
    </row>
    <row r="211" spans="1:61" x14ac:dyDescent="0.25">
      <c r="A211" s="40" t="s">
        <v>290</v>
      </c>
      <c r="B211" s="40" t="s">
        <v>53</v>
      </c>
      <c r="C211" s="40" t="s">
        <v>66</v>
      </c>
      <c r="D211" t="s">
        <v>62</v>
      </c>
      <c r="E211" s="6"/>
      <c r="F211" s="7"/>
      <c r="G211" s="8"/>
      <c r="H211" s="9"/>
      <c r="J211" s="10"/>
      <c r="K211" s="11"/>
      <c r="L211" s="12"/>
      <c r="M211" s="13"/>
      <c r="O211" s="6"/>
      <c r="P211" s="7"/>
      <c r="Q211" s="8"/>
      <c r="R211" s="9">
        <v>6</v>
      </c>
      <c r="T211" s="10"/>
      <c r="U211" s="11"/>
      <c r="V211" s="12"/>
      <c r="W211" s="13"/>
      <c r="Y211" s="6"/>
      <c r="Z211" s="7">
        <v>3</v>
      </c>
      <c r="AA211" s="8">
        <v>3</v>
      </c>
      <c r="AB211" s="9">
        <v>1</v>
      </c>
      <c r="AD211" s="10"/>
      <c r="AE211" s="11"/>
      <c r="AF211" s="12">
        <v>2</v>
      </c>
      <c r="AG211" s="13">
        <v>2</v>
      </c>
      <c r="AI211" s="6"/>
      <c r="AJ211" s="7"/>
      <c r="AK211" s="8"/>
      <c r="AL211" s="9"/>
      <c r="AN211" s="10"/>
      <c r="AO211" s="11"/>
      <c r="AP211" s="12"/>
      <c r="AQ211" s="13"/>
      <c r="AS211" s="6"/>
      <c r="AT211" s="7"/>
      <c r="AU211" s="8"/>
      <c r="AV211" s="9"/>
      <c r="AX211" s="10"/>
      <c r="AY211" s="11"/>
      <c r="AZ211" s="12"/>
      <c r="BA211" s="13"/>
      <c r="BC211" s="6"/>
      <c r="BD211" s="7"/>
      <c r="BE211" s="8"/>
      <c r="BF211" s="9"/>
      <c r="BG211" s="4"/>
      <c r="BH211" s="46">
        <f t="shared" si="28"/>
        <v>17</v>
      </c>
      <c r="BI211" s="47">
        <f t="shared" si="29"/>
        <v>5.0999999999999996</v>
      </c>
    </row>
    <row r="212" spans="1:61" x14ac:dyDescent="0.25">
      <c r="A212" s="40" t="s">
        <v>289</v>
      </c>
      <c r="B212" s="40" t="s">
        <v>53</v>
      </c>
      <c r="C212" s="40" t="s">
        <v>66</v>
      </c>
      <c r="D212" t="s">
        <v>54</v>
      </c>
      <c r="E212" s="6"/>
      <c r="F212" s="7"/>
      <c r="G212" s="8"/>
      <c r="H212" s="9"/>
      <c r="J212" s="10"/>
      <c r="K212" s="11"/>
      <c r="L212" s="12"/>
      <c r="M212" s="13"/>
      <c r="O212" s="6"/>
      <c r="P212" s="7"/>
      <c r="Q212" s="8"/>
      <c r="R212" s="9"/>
      <c r="T212" s="10"/>
      <c r="U212" s="11">
        <v>1</v>
      </c>
      <c r="V212" s="12"/>
      <c r="W212" s="13">
        <v>2</v>
      </c>
      <c r="Y212" s="6">
        <v>1</v>
      </c>
      <c r="Z212" s="7"/>
      <c r="AA212" s="8">
        <v>3</v>
      </c>
      <c r="AB212" s="9"/>
      <c r="AD212" s="10"/>
      <c r="AE212" s="11"/>
      <c r="AF212" s="12"/>
      <c r="AG212" s="13"/>
      <c r="AI212" s="6"/>
      <c r="AJ212" s="7"/>
      <c r="AK212" s="8"/>
      <c r="AL212" s="9"/>
      <c r="AN212" s="10"/>
      <c r="AO212" s="11"/>
      <c r="AP212" s="12"/>
      <c r="AQ212" s="13"/>
      <c r="AS212" s="6"/>
      <c r="AT212" s="7"/>
      <c r="AU212" s="8"/>
      <c r="AV212" s="9"/>
      <c r="AX212" s="10"/>
      <c r="AY212" s="11"/>
      <c r="AZ212" s="12"/>
      <c r="BA212" s="13"/>
      <c r="BC212" s="6"/>
      <c r="BD212" s="7"/>
      <c r="BE212" s="8"/>
      <c r="BF212" s="9"/>
      <c r="BG212" s="4"/>
      <c r="BH212" s="46">
        <f t="shared" si="28"/>
        <v>7</v>
      </c>
      <c r="BI212" s="47">
        <f t="shared" si="29"/>
        <v>2.1</v>
      </c>
    </row>
    <row r="213" spans="1:61" x14ac:dyDescent="0.25">
      <c r="A213" s="40" t="s">
        <v>400</v>
      </c>
      <c r="B213" s="40" t="s">
        <v>53</v>
      </c>
      <c r="C213" s="40" t="s">
        <v>66</v>
      </c>
      <c r="D213" t="s">
        <v>54</v>
      </c>
      <c r="E213" s="6"/>
      <c r="F213" s="7"/>
      <c r="G213" s="8"/>
      <c r="H213" s="9"/>
      <c r="J213" s="10"/>
      <c r="K213" s="11"/>
      <c r="L213" s="12"/>
      <c r="M213" s="13"/>
      <c r="O213" s="6"/>
      <c r="P213" s="7"/>
      <c r="Q213" s="8"/>
      <c r="R213" s="9"/>
      <c r="T213" s="10"/>
      <c r="U213" s="11"/>
      <c r="V213" s="12"/>
      <c r="W213" s="13"/>
      <c r="Y213" s="6"/>
      <c r="Z213" s="7"/>
      <c r="AA213" s="8"/>
      <c r="AB213" s="9"/>
      <c r="AD213" s="10"/>
      <c r="AE213" s="11"/>
      <c r="AF213" s="12"/>
      <c r="AG213" s="13"/>
      <c r="AI213" s="6"/>
      <c r="AJ213" s="7"/>
      <c r="AK213" s="8"/>
      <c r="AL213" s="9"/>
      <c r="AN213" s="10"/>
      <c r="AO213" s="11"/>
      <c r="AP213" s="12"/>
      <c r="AQ213" s="13"/>
      <c r="AS213" s="6"/>
      <c r="AT213" s="7"/>
      <c r="AU213" s="8"/>
      <c r="AV213" s="9"/>
      <c r="AX213" s="10"/>
      <c r="AY213" s="11"/>
      <c r="AZ213" s="12"/>
      <c r="BA213" s="13"/>
      <c r="BC213" s="6"/>
      <c r="BD213" s="7"/>
      <c r="BE213" s="8"/>
      <c r="BF213" s="9"/>
      <c r="BG213" s="4"/>
      <c r="BH213" s="46">
        <f t="shared" ref="BH213" si="38">SUM(E213:BF213)</f>
        <v>0</v>
      </c>
      <c r="BI213" s="47">
        <f t="shared" ref="BI213" si="39">(SUM(E213:BG213)*$D$2)</f>
        <v>0</v>
      </c>
    </row>
    <row r="214" spans="1:61" x14ac:dyDescent="0.25">
      <c r="A214" s="40" t="s">
        <v>401</v>
      </c>
      <c r="B214" s="40" t="s">
        <v>53</v>
      </c>
      <c r="C214" s="40" t="s">
        <v>66</v>
      </c>
      <c r="D214" t="s">
        <v>54</v>
      </c>
      <c r="E214" s="6">
        <v>2</v>
      </c>
      <c r="F214" s="7">
        <v>3</v>
      </c>
      <c r="G214" s="8"/>
      <c r="H214" s="9"/>
      <c r="J214" s="10"/>
      <c r="K214" s="11"/>
      <c r="L214" s="12"/>
      <c r="M214" s="13"/>
      <c r="O214" s="6"/>
      <c r="P214" s="7"/>
      <c r="Q214" s="8"/>
      <c r="R214" s="9">
        <v>5</v>
      </c>
      <c r="T214" s="10"/>
      <c r="U214" s="11"/>
      <c r="V214" s="12"/>
      <c r="W214" s="13"/>
      <c r="Y214" s="6"/>
      <c r="Z214" s="7"/>
      <c r="AA214" s="8"/>
      <c r="AB214" s="9"/>
      <c r="AD214" s="10"/>
      <c r="AE214" s="11"/>
      <c r="AF214" s="12"/>
      <c r="AG214" s="13"/>
      <c r="AI214" s="6"/>
      <c r="AJ214" s="7"/>
      <c r="AK214" s="8"/>
      <c r="AL214" s="9"/>
      <c r="AN214" s="10"/>
      <c r="AO214" s="11"/>
      <c r="AP214" s="12"/>
      <c r="AQ214" s="13"/>
      <c r="AS214" s="6"/>
      <c r="AT214" s="7"/>
      <c r="AU214" s="8"/>
      <c r="AV214" s="9"/>
      <c r="AX214" s="10"/>
      <c r="AY214" s="11"/>
      <c r="AZ214" s="12"/>
      <c r="BA214" s="13"/>
      <c r="BC214" s="6"/>
      <c r="BD214" s="7"/>
      <c r="BE214" s="8"/>
      <c r="BF214" s="9"/>
      <c r="BG214" s="4"/>
      <c r="BH214" s="46">
        <f t="shared" si="28"/>
        <v>10</v>
      </c>
      <c r="BI214" s="47">
        <f t="shared" si="29"/>
        <v>3</v>
      </c>
    </row>
    <row r="215" spans="1:61" x14ac:dyDescent="0.25">
      <c r="A215" s="40" t="s">
        <v>403</v>
      </c>
      <c r="B215" s="40" t="s">
        <v>53</v>
      </c>
      <c r="C215" s="40" t="s">
        <v>66</v>
      </c>
      <c r="D215" s="50" t="s">
        <v>54</v>
      </c>
      <c r="E215" s="6"/>
      <c r="F215" s="7"/>
      <c r="G215" s="8"/>
      <c r="H215" s="9"/>
      <c r="J215" s="10"/>
      <c r="K215" s="11"/>
      <c r="L215" s="12"/>
      <c r="M215" s="13"/>
      <c r="O215" s="6"/>
      <c r="P215" s="7"/>
      <c r="Q215" s="8"/>
      <c r="R215" s="9"/>
      <c r="T215" s="10"/>
      <c r="U215" s="11"/>
      <c r="V215" s="12"/>
      <c r="W215" s="13"/>
      <c r="Y215" s="6"/>
      <c r="Z215" s="7"/>
      <c r="AA215" s="8"/>
      <c r="AB215" s="9"/>
      <c r="AD215" s="10"/>
      <c r="AE215" s="11"/>
      <c r="AF215" s="12"/>
      <c r="AG215" s="13"/>
      <c r="AI215" s="6"/>
      <c r="AJ215" s="7"/>
      <c r="AK215" s="8"/>
      <c r="AL215" s="9"/>
      <c r="AN215" s="10"/>
      <c r="AO215" s="11"/>
      <c r="AP215" s="12"/>
      <c r="AQ215" s="13"/>
      <c r="AS215" s="6"/>
      <c r="AT215" s="7"/>
      <c r="AU215" s="8"/>
      <c r="AV215" s="9"/>
      <c r="AX215" s="10"/>
      <c r="AY215" s="11"/>
      <c r="AZ215" s="12"/>
      <c r="BA215" s="13"/>
      <c r="BC215" s="6"/>
      <c r="BD215" s="7"/>
      <c r="BE215" s="8"/>
      <c r="BF215" s="9"/>
      <c r="BG215" s="4"/>
      <c r="BH215" s="46">
        <f t="shared" si="28"/>
        <v>0</v>
      </c>
      <c r="BI215" s="47">
        <f t="shared" si="29"/>
        <v>0</v>
      </c>
    </row>
    <row r="216" spans="1:61" x14ac:dyDescent="0.25">
      <c r="A216" s="40" t="s">
        <v>402</v>
      </c>
      <c r="B216" s="40">
        <v>7</v>
      </c>
      <c r="C216" s="40" t="s">
        <v>66</v>
      </c>
      <c r="E216" s="6">
        <v>7</v>
      </c>
      <c r="F216" s="7">
        <v>7</v>
      </c>
      <c r="G216" s="8">
        <v>9</v>
      </c>
      <c r="H216" s="9">
        <v>8</v>
      </c>
      <c r="J216" s="10"/>
      <c r="K216" s="11"/>
      <c r="L216" s="12">
        <v>8</v>
      </c>
      <c r="M216" s="13">
        <v>8</v>
      </c>
      <c r="O216" s="6"/>
      <c r="P216" s="7"/>
      <c r="Q216" s="8"/>
      <c r="R216" s="9">
        <v>12</v>
      </c>
      <c r="T216" s="10"/>
      <c r="U216" s="11">
        <v>8</v>
      </c>
      <c r="V216" s="12"/>
      <c r="W216" s="13">
        <v>11</v>
      </c>
      <c r="Y216" s="6"/>
      <c r="Z216" s="7">
        <v>8</v>
      </c>
      <c r="AA216" s="8">
        <v>7</v>
      </c>
      <c r="AB216" s="9">
        <v>13</v>
      </c>
      <c r="AD216" s="10">
        <v>8</v>
      </c>
      <c r="AE216" s="11"/>
      <c r="AF216" s="12"/>
      <c r="AG216" s="13">
        <v>9</v>
      </c>
      <c r="AI216" s="6">
        <v>7</v>
      </c>
      <c r="AJ216" s="7"/>
      <c r="AK216" s="8"/>
      <c r="AL216" s="9"/>
      <c r="AN216" s="10"/>
      <c r="AO216" s="11"/>
      <c r="AP216" s="12"/>
      <c r="AQ216" s="13"/>
      <c r="AS216" s="6"/>
      <c r="AT216" s="7"/>
      <c r="AU216" s="8"/>
      <c r="AV216" s="9"/>
      <c r="AX216" s="10"/>
      <c r="AY216" s="11"/>
      <c r="AZ216" s="12"/>
      <c r="BA216" s="13"/>
      <c r="BC216" s="6"/>
      <c r="BD216" s="7"/>
      <c r="BE216" s="8"/>
      <c r="BF216" s="9"/>
      <c r="BG216" s="4"/>
      <c r="BH216" s="46">
        <f t="shared" si="28"/>
        <v>130</v>
      </c>
      <c r="BI216" s="47">
        <f t="shared" si="29"/>
        <v>39</v>
      </c>
    </row>
    <row r="217" spans="1:61" x14ac:dyDescent="0.25">
      <c r="A217" s="40" t="s">
        <v>257</v>
      </c>
      <c r="B217" s="40">
        <v>7</v>
      </c>
      <c r="C217" s="40" t="s">
        <v>66</v>
      </c>
      <c r="E217" s="6"/>
      <c r="F217" s="7"/>
      <c r="G217" s="8"/>
      <c r="H217" s="9"/>
      <c r="J217" s="10"/>
      <c r="K217" s="11"/>
      <c r="L217" s="12"/>
      <c r="M217" s="13"/>
      <c r="O217" s="6"/>
      <c r="P217" s="7"/>
      <c r="Q217" s="8"/>
      <c r="R217" s="9">
        <v>1</v>
      </c>
      <c r="T217" s="10"/>
      <c r="U217" s="11"/>
      <c r="V217" s="12"/>
      <c r="W217" s="13"/>
      <c r="Y217" s="6">
        <v>5</v>
      </c>
      <c r="Z217" s="7"/>
      <c r="AA217" s="8"/>
      <c r="AB217" s="9"/>
      <c r="AD217" s="10"/>
      <c r="AE217" s="11"/>
      <c r="AF217" s="12"/>
      <c r="AG217" s="13"/>
      <c r="AI217" s="6"/>
      <c r="AJ217" s="7"/>
      <c r="AK217" s="8"/>
      <c r="AL217" s="9"/>
      <c r="AN217" s="10"/>
      <c r="AO217" s="11"/>
      <c r="AP217" s="12"/>
      <c r="AQ217" s="13"/>
      <c r="AS217" s="6"/>
      <c r="AT217" s="7"/>
      <c r="AU217" s="8"/>
      <c r="AV217" s="9"/>
      <c r="AX217" s="10"/>
      <c r="AY217" s="11"/>
      <c r="AZ217" s="12"/>
      <c r="BA217" s="13"/>
      <c r="BC217" s="6"/>
      <c r="BD217" s="7"/>
      <c r="BE217" s="8"/>
      <c r="BF217" s="9"/>
      <c r="BG217" s="4"/>
      <c r="BH217" s="46">
        <f t="shared" si="28"/>
        <v>6</v>
      </c>
      <c r="BI217" s="47">
        <f t="shared" si="29"/>
        <v>1.7999999999999998</v>
      </c>
    </row>
    <row r="218" spans="1:61" x14ac:dyDescent="0.25">
      <c r="A218" s="40" t="s">
        <v>404</v>
      </c>
      <c r="B218" s="40">
        <v>7</v>
      </c>
      <c r="C218" s="40" t="s">
        <v>66</v>
      </c>
      <c r="E218" s="6"/>
      <c r="F218" s="7"/>
      <c r="G218" s="8"/>
      <c r="H218" s="9"/>
      <c r="J218" s="10"/>
      <c r="K218" s="11"/>
      <c r="L218" s="12"/>
      <c r="M218" s="13"/>
      <c r="O218" s="6"/>
      <c r="P218" s="7"/>
      <c r="Q218" s="8"/>
      <c r="R218" s="9">
        <v>3</v>
      </c>
      <c r="T218" s="10"/>
      <c r="U218" s="11"/>
      <c r="V218" s="12"/>
      <c r="W218" s="13">
        <v>4</v>
      </c>
      <c r="Y218" s="6"/>
      <c r="Z218" s="7"/>
      <c r="AA218" s="8"/>
      <c r="AB218" s="9">
        <v>2</v>
      </c>
      <c r="AD218" s="10"/>
      <c r="AE218" s="11"/>
      <c r="AF218" s="12"/>
      <c r="AG218" s="13"/>
      <c r="AI218" s="6"/>
      <c r="AJ218" s="7"/>
      <c r="AK218" s="8"/>
      <c r="AL218" s="9"/>
      <c r="AN218" s="10"/>
      <c r="AO218" s="11"/>
      <c r="AP218" s="12"/>
      <c r="AQ218" s="13"/>
      <c r="AS218" s="6"/>
      <c r="AT218" s="7"/>
      <c r="AU218" s="8"/>
      <c r="AV218" s="9"/>
      <c r="AX218" s="10"/>
      <c r="AY218" s="11"/>
      <c r="AZ218" s="12"/>
      <c r="BA218" s="13"/>
      <c r="BC218" s="6"/>
      <c r="BD218" s="7"/>
      <c r="BE218" s="8"/>
      <c r="BF218" s="9"/>
      <c r="BG218" s="4"/>
      <c r="BH218" s="46">
        <f t="shared" si="28"/>
        <v>9</v>
      </c>
      <c r="BI218" s="47">
        <f t="shared" si="29"/>
        <v>2.6999999999999997</v>
      </c>
    </row>
    <row r="219" spans="1:61" x14ac:dyDescent="0.25">
      <c r="A219" s="40" t="s">
        <v>405</v>
      </c>
      <c r="B219" s="40">
        <v>7</v>
      </c>
      <c r="C219" s="40" t="s">
        <v>66</v>
      </c>
      <c r="E219" s="6">
        <v>2</v>
      </c>
      <c r="F219" s="7">
        <v>3</v>
      </c>
      <c r="G219" s="8">
        <v>2</v>
      </c>
      <c r="H219" s="9"/>
      <c r="J219" s="10"/>
      <c r="K219" s="11"/>
      <c r="L219" s="12">
        <v>3</v>
      </c>
      <c r="M219" s="13">
        <v>3</v>
      </c>
      <c r="O219" s="6">
        <v>3</v>
      </c>
      <c r="P219" s="7"/>
      <c r="Q219" s="8">
        <v>2</v>
      </c>
      <c r="R219" s="9">
        <v>9</v>
      </c>
      <c r="T219" s="10"/>
      <c r="U219" s="11">
        <v>2</v>
      </c>
      <c r="V219" s="12"/>
      <c r="W219" s="13">
        <v>8</v>
      </c>
      <c r="Y219" s="6">
        <v>4</v>
      </c>
      <c r="Z219" s="7"/>
      <c r="AA219" s="8">
        <v>3</v>
      </c>
      <c r="AB219" s="9">
        <v>6</v>
      </c>
      <c r="AD219" s="10">
        <v>4</v>
      </c>
      <c r="AE219" s="11"/>
      <c r="AF219" s="12">
        <v>3</v>
      </c>
      <c r="AG219" s="13">
        <v>5</v>
      </c>
      <c r="AI219" s="6">
        <v>3</v>
      </c>
      <c r="AJ219" s="7">
        <v>2</v>
      </c>
      <c r="AK219" s="8"/>
      <c r="AL219" s="9"/>
      <c r="AN219" s="10"/>
      <c r="AO219" s="11"/>
      <c r="AP219" s="12"/>
      <c r="AQ219" s="13"/>
      <c r="AS219" s="6"/>
      <c r="AT219" s="7"/>
      <c r="AU219" s="8"/>
      <c r="AV219" s="9"/>
      <c r="AX219" s="10"/>
      <c r="AY219" s="11"/>
      <c r="AZ219" s="12"/>
      <c r="BA219" s="13"/>
      <c r="BC219" s="6"/>
      <c r="BD219" s="7"/>
      <c r="BE219" s="8"/>
      <c r="BF219" s="9"/>
      <c r="BG219" s="4"/>
      <c r="BH219" s="46">
        <f t="shared" si="28"/>
        <v>67</v>
      </c>
      <c r="BI219" s="47">
        <f t="shared" si="29"/>
        <v>20.099999999999998</v>
      </c>
    </row>
    <row r="220" spans="1:61" x14ac:dyDescent="0.25">
      <c r="A220" s="40" t="s">
        <v>406</v>
      </c>
      <c r="B220" s="40">
        <v>8</v>
      </c>
      <c r="C220" s="40" t="s">
        <v>66</v>
      </c>
      <c r="E220" s="6"/>
      <c r="F220" s="7"/>
      <c r="G220" s="8"/>
      <c r="H220" s="9"/>
      <c r="J220" s="10"/>
      <c r="K220" s="11"/>
      <c r="L220" s="12"/>
      <c r="M220" s="13"/>
      <c r="O220" s="6"/>
      <c r="P220" s="7"/>
      <c r="Q220" s="8"/>
      <c r="R220" s="9">
        <v>1</v>
      </c>
      <c r="T220" s="10"/>
      <c r="U220" s="11"/>
      <c r="V220" s="12"/>
      <c r="W220" s="13">
        <v>10</v>
      </c>
      <c r="Y220" s="6">
        <v>3</v>
      </c>
      <c r="Z220" s="7"/>
      <c r="AA220" s="8">
        <v>4</v>
      </c>
      <c r="AB220" s="9"/>
      <c r="AD220" s="10"/>
      <c r="AE220" s="11"/>
      <c r="AF220" s="12">
        <v>4</v>
      </c>
      <c r="AG220" s="13">
        <v>8</v>
      </c>
      <c r="AI220" s="6"/>
      <c r="AJ220" s="7"/>
      <c r="AK220" s="8"/>
      <c r="AL220" s="9"/>
      <c r="AN220" s="10"/>
      <c r="AO220" s="11"/>
      <c r="AP220" s="12"/>
      <c r="AQ220" s="13"/>
      <c r="AS220" s="6"/>
      <c r="AT220" s="7"/>
      <c r="AU220" s="8"/>
      <c r="AV220" s="9"/>
      <c r="AX220" s="10"/>
      <c r="AY220" s="11"/>
      <c r="AZ220" s="12"/>
      <c r="BA220" s="13"/>
      <c r="BC220" s="6"/>
      <c r="BD220" s="7"/>
      <c r="BE220" s="8"/>
      <c r="BF220" s="9"/>
      <c r="BG220" s="4"/>
      <c r="BH220" s="46">
        <f t="shared" si="28"/>
        <v>30</v>
      </c>
      <c r="BI220" s="47">
        <f t="shared" si="29"/>
        <v>9</v>
      </c>
    </row>
    <row r="221" spans="1:61" x14ac:dyDescent="0.25">
      <c r="A221" s="40" t="s">
        <v>407</v>
      </c>
      <c r="B221" s="40"/>
      <c r="C221" s="40" t="s">
        <v>66</v>
      </c>
      <c r="E221" s="6"/>
      <c r="F221" s="7"/>
      <c r="G221" s="8"/>
      <c r="H221" s="9"/>
      <c r="J221" s="10"/>
      <c r="K221" s="11"/>
      <c r="L221" s="12"/>
      <c r="M221" s="13"/>
      <c r="O221" s="6"/>
      <c r="P221" s="7"/>
      <c r="Q221" s="8"/>
      <c r="R221" s="9"/>
      <c r="T221" s="10"/>
      <c r="U221" s="11"/>
      <c r="V221" s="12"/>
      <c r="W221" s="13"/>
      <c r="Y221" s="6"/>
      <c r="Z221" s="7"/>
      <c r="AA221" s="8"/>
      <c r="AB221" s="9"/>
      <c r="AD221" s="10"/>
      <c r="AE221" s="11"/>
      <c r="AF221" s="12"/>
      <c r="AG221" s="13"/>
      <c r="AI221" s="6"/>
      <c r="AJ221" s="7"/>
      <c r="AK221" s="8"/>
      <c r="AL221" s="9"/>
      <c r="AN221" s="10"/>
      <c r="AO221" s="11"/>
      <c r="AP221" s="12"/>
      <c r="AQ221" s="13"/>
      <c r="AS221" s="6"/>
      <c r="AT221" s="7"/>
      <c r="AU221" s="8"/>
      <c r="AV221" s="9"/>
      <c r="AX221" s="10"/>
      <c r="AY221" s="11"/>
      <c r="AZ221" s="12"/>
      <c r="BA221" s="13"/>
      <c r="BC221" s="6"/>
      <c r="BD221" s="7"/>
      <c r="BE221" s="8"/>
      <c r="BF221" s="9"/>
      <c r="BG221" s="4"/>
      <c r="BH221" s="46">
        <f t="shared" si="28"/>
        <v>0</v>
      </c>
      <c r="BI221" s="47">
        <f t="shared" si="29"/>
        <v>0</v>
      </c>
    </row>
    <row r="222" spans="1:61" x14ac:dyDescent="0.25">
      <c r="A222" s="40" t="s">
        <v>352</v>
      </c>
      <c r="B222" s="40">
        <v>4</v>
      </c>
      <c r="C222" s="40" t="s">
        <v>66</v>
      </c>
      <c r="E222" s="6"/>
      <c r="F222" s="7"/>
      <c r="G222" s="8">
        <v>3</v>
      </c>
      <c r="H222" s="9">
        <v>3</v>
      </c>
      <c r="J222" s="10"/>
      <c r="K222" s="11"/>
      <c r="L222" s="12">
        <v>3</v>
      </c>
      <c r="M222" s="13"/>
      <c r="O222" s="6">
        <v>3</v>
      </c>
      <c r="P222" s="7"/>
      <c r="Q222" s="8">
        <v>2</v>
      </c>
      <c r="R222" s="9">
        <v>6</v>
      </c>
      <c r="T222" s="10"/>
      <c r="U222" s="11">
        <v>2</v>
      </c>
      <c r="V222" s="12"/>
      <c r="W222" s="13">
        <v>4</v>
      </c>
      <c r="Y222" s="6"/>
      <c r="Z222" s="7">
        <v>3</v>
      </c>
      <c r="AA222" s="8"/>
      <c r="AB222" s="9">
        <v>8</v>
      </c>
      <c r="AD222" s="10"/>
      <c r="AE222" s="11"/>
      <c r="AF222" s="12">
        <v>1</v>
      </c>
      <c r="AG222" s="13">
        <v>7</v>
      </c>
      <c r="AI222" s="6"/>
      <c r="AJ222" s="7"/>
      <c r="AK222" s="8"/>
      <c r="AL222" s="9"/>
      <c r="AN222" s="10"/>
      <c r="AO222" s="11"/>
      <c r="AP222" s="12"/>
      <c r="AQ222" s="13"/>
      <c r="AS222" s="6"/>
      <c r="AT222" s="7"/>
      <c r="AU222" s="8"/>
      <c r="AV222" s="9"/>
      <c r="AX222" s="10"/>
      <c r="AY222" s="11"/>
      <c r="AZ222" s="12"/>
      <c r="BA222" s="13"/>
      <c r="BC222" s="6"/>
      <c r="BD222" s="7"/>
      <c r="BE222" s="8"/>
      <c r="BF222" s="9"/>
      <c r="BG222" s="4"/>
      <c r="BH222" s="46">
        <f t="shared" si="28"/>
        <v>45</v>
      </c>
      <c r="BI222" s="47">
        <f t="shared" si="29"/>
        <v>13.5</v>
      </c>
    </row>
    <row r="223" spans="1:61" x14ac:dyDescent="0.25">
      <c r="A223" s="40" t="s">
        <v>416</v>
      </c>
      <c r="B223" s="40">
        <v>6</v>
      </c>
      <c r="C223" s="52" t="s">
        <v>66</v>
      </c>
      <c r="E223" s="6"/>
      <c r="F223" s="7"/>
      <c r="G223" s="8"/>
      <c r="H223" s="9"/>
      <c r="J223" s="10"/>
      <c r="K223" s="11"/>
      <c r="L223" s="12">
        <v>3</v>
      </c>
      <c r="M223" s="13">
        <v>3</v>
      </c>
      <c r="O223" s="6"/>
      <c r="P223" s="7"/>
      <c r="Q223" s="8"/>
      <c r="R223" s="9">
        <v>5</v>
      </c>
      <c r="T223" s="10"/>
      <c r="U223" s="11">
        <v>3</v>
      </c>
      <c r="V223" s="12"/>
      <c r="W223" s="13">
        <v>1</v>
      </c>
      <c r="Y223" s="6">
        <v>1</v>
      </c>
      <c r="Z223" s="7"/>
      <c r="AA223" s="8"/>
      <c r="AB223" s="9">
        <v>4</v>
      </c>
      <c r="AD223" s="10"/>
      <c r="AE223" s="11"/>
      <c r="AF223" s="12">
        <v>3</v>
      </c>
      <c r="AG223" s="13">
        <v>5</v>
      </c>
      <c r="AI223" s="6"/>
      <c r="AJ223" s="7"/>
      <c r="AK223" s="8"/>
      <c r="AL223" s="9"/>
      <c r="AN223" s="10"/>
      <c r="AO223" s="11"/>
      <c r="AP223" s="12"/>
      <c r="AQ223" s="13"/>
      <c r="AS223" s="6"/>
      <c r="AT223" s="7"/>
      <c r="AU223" s="8"/>
      <c r="AV223" s="9"/>
      <c r="AX223" s="10"/>
      <c r="AY223" s="11"/>
      <c r="AZ223" s="12"/>
      <c r="BA223" s="13"/>
      <c r="BC223" s="6"/>
      <c r="BD223" s="7"/>
      <c r="BE223" s="8"/>
      <c r="BF223" s="9"/>
      <c r="BG223" s="4"/>
      <c r="BH223" s="46">
        <f t="shared" si="28"/>
        <v>28</v>
      </c>
      <c r="BI223" s="47">
        <f t="shared" si="29"/>
        <v>8.4</v>
      </c>
    </row>
    <row r="224" spans="1:61" x14ac:dyDescent="0.25">
      <c r="A224" s="40" t="s">
        <v>421</v>
      </c>
      <c r="B224" s="40">
        <v>4</v>
      </c>
      <c r="C224" s="40" t="s">
        <v>66</v>
      </c>
      <c r="E224" s="6"/>
      <c r="F224" s="7"/>
      <c r="G224" s="8"/>
      <c r="H224" s="9">
        <v>2</v>
      </c>
      <c r="J224" s="10"/>
      <c r="K224" s="11"/>
      <c r="L224" s="12"/>
      <c r="M224" s="13"/>
      <c r="O224" s="6">
        <v>2</v>
      </c>
      <c r="P224" s="7">
        <v>3</v>
      </c>
      <c r="Q224" s="8"/>
      <c r="R224" s="9"/>
      <c r="T224" s="10"/>
      <c r="U224" s="11"/>
      <c r="V224" s="12"/>
      <c r="W224" s="13">
        <v>2</v>
      </c>
      <c r="Y224" s="6">
        <v>3</v>
      </c>
      <c r="Z224" s="7">
        <v>3</v>
      </c>
      <c r="AA224" s="8"/>
      <c r="AB224" s="9">
        <v>6</v>
      </c>
      <c r="AD224" s="10">
        <v>3</v>
      </c>
      <c r="AE224" s="11"/>
      <c r="AF224" s="12"/>
      <c r="AG224" s="13"/>
      <c r="AI224" s="6">
        <v>1</v>
      </c>
      <c r="AJ224" s="7"/>
      <c r="AK224" s="8"/>
      <c r="AL224" s="9"/>
      <c r="AN224" s="10"/>
      <c r="AO224" s="11"/>
      <c r="AP224" s="12"/>
      <c r="AQ224" s="13"/>
      <c r="AS224" s="6"/>
      <c r="AT224" s="7"/>
      <c r="AU224" s="8"/>
      <c r="AV224" s="9"/>
      <c r="AX224" s="10"/>
      <c r="AY224" s="11"/>
      <c r="AZ224" s="12"/>
      <c r="BA224" s="13"/>
      <c r="BC224" s="6"/>
      <c r="BD224" s="7"/>
      <c r="BE224" s="8"/>
      <c r="BF224" s="9"/>
      <c r="BG224" s="4"/>
      <c r="BH224" s="46">
        <f t="shared" si="28"/>
        <v>25</v>
      </c>
      <c r="BI224" s="47">
        <f t="shared" si="29"/>
        <v>7.5</v>
      </c>
    </row>
    <row r="225" spans="1:61" x14ac:dyDescent="0.25">
      <c r="A225" s="40" t="s">
        <v>423</v>
      </c>
      <c r="B225" s="40">
        <v>3</v>
      </c>
      <c r="C225" s="40" t="s">
        <v>66</v>
      </c>
      <c r="E225" s="6"/>
      <c r="F225" s="7"/>
      <c r="G225" s="8"/>
      <c r="H225" s="9"/>
      <c r="J225" s="10"/>
      <c r="K225" s="11"/>
      <c r="L225" s="12"/>
      <c r="M225" s="13"/>
      <c r="O225" s="6">
        <v>3</v>
      </c>
      <c r="P225" s="7">
        <v>3</v>
      </c>
      <c r="Q225" s="8"/>
      <c r="R225" s="9">
        <v>4</v>
      </c>
      <c r="T225" s="10"/>
      <c r="U225" s="11"/>
      <c r="V225" s="12"/>
      <c r="W225" s="13"/>
      <c r="Y225" s="6"/>
      <c r="Z225" s="7"/>
      <c r="AA225" s="8"/>
      <c r="AB225" s="9"/>
      <c r="AD225" s="10"/>
      <c r="AE225" s="11"/>
      <c r="AF225" s="12"/>
      <c r="AG225" s="13"/>
      <c r="AI225" s="6">
        <v>2</v>
      </c>
      <c r="AJ225" s="7"/>
      <c r="AK225" s="8"/>
      <c r="AL225" s="9"/>
      <c r="AN225" s="10"/>
      <c r="AO225" s="11"/>
      <c r="AP225" s="12"/>
      <c r="AQ225" s="13"/>
      <c r="AS225" s="6"/>
      <c r="AT225" s="7"/>
      <c r="AU225" s="8"/>
      <c r="AV225" s="9"/>
      <c r="AX225" s="10"/>
      <c r="AY225" s="11"/>
      <c r="AZ225" s="12"/>
      <c r="BA225" s="13"/>
      <c r="BC225" s="6"/>
      <c r="BD225" s="7"/>
      <c r="BE225" s="8"/>
      <c r="BF225" s="9"/>
      <c r="BG225" s="4"/>
      <c r="BH225" s="46">
        <f t="shared" ref="BH225:BH241" si="40">SUM(E225:BF225)</f>
        <v>12</v>
      </c>
      <c r="BI225" s="47">
        <f t="shared" ref="BI225:BI241" si="41">(SUM(E225:BG225)*$D$2)</f>
        <v>3.5999999999999996</v>
      </c>
    </row>
    <row r="226" spans="1:61" x14ac:dyDescent="0.25">
      <c r="A226" s="40" t="s">
        <v>434</v>
      </c>
      <c r="B226" s="40"/>
      <c r="C226" s="40" t="s">
        <v>66</v>
      </c>
      <c r="E226" s="6"/>
      <c r="F226" s="7"/>
      <c r="G226" s="8"/>
      <c r="H226" s="9"/>
      <c r="J226" s="10"/>
      <c r="K226" s="11"/>
      <c r="L226" s="12"/>
      <c r="M226" s="13"/>
      <c r="O226" s="6"/>
      <c r="P226" s="7"/>
      <c r="Q226" s="8"/>
      <c r="R226" s="9">
        <v>3</v>
      </c>
      <c r="T226" s="10"/>
      <c r="U226" s="11">
        <v>2</v>
      </c>
      <c r="V226" s="12"/>
      <c r="W226" s="13">
        <v>1</v>
      </c>
      <c r="Y226" s="6"/>
      <c r="Z226" s="7"/>
      <c r="AA226" s="8"/>
      <c r="AB226" s="9"/>
      <c r="AD226" s="10"/>
      <c r="AE226" s="11"/>
      <c r="AF226" s="12"/>
      <c r="AG226" s="13">
        <v>1</v>
      </c>
      <c r="AI226" s="6"/>
      <c r="AJ226" s="7"/>
      <c r="AK226" s="8"/>
      <c r="AL226" s="9"/>
      <c r="AN226" s="10"/>
      <c r="AO226" s="11"/>
      <c r="AP226" s="12"/>
      <c r="AQ226" s="13"/>
      <c r="AS226" s="6"/>
      <c r="AT226" s="7"/>
      <c r="AU226" s="8"/>
      <c r="AV226" s="9"/>
      <c r="AX226" s="10"/>
      <c r="AY226" s="11"/>
      <c r="AZ226" s="12"/>
      <c r="BA226" s="13"/>
      <c r="BC226" s="6"/>
      <c r="BD226" s="7"/>
      <c r="BE226" s="8"/>
      <c r="BF226" s="9"/>
      <c r="BG226" s="4"/>
      <c r="BH226" s="46">
        <f t="shared" si="40"/>
        <v>7</v>
      </c>
      <c r="BI226" s="47">
        <f t="shared" si="41"/>
        <v>2.1</v>
      </c>
    </row>
    <row r="227" spans="1:61" x14ac:dyDescent="0.25">
      <c r="A227" s="40" t="s">
        <v>435</v>
      </c>
      <c r="B227" s="40"/>
      <c r="C227" s="40" t="s">
        <v>66</v>
      </c>
      <c r="E227" s="6"/>
      <c r="F227" s="7"/>
      <c r="G227" s="8"/>
      <c r="H227" s="9"/>
      <c r="J227" s="10"/>
      <c r="K227" s="11"/>
      <c r="L227" s="12"/>
      <c r="M227" s="13"/>
      <c r="O227" s="6"/>
      <c r="P227" s="7"/>
      <c r="Q227" s="8"/>
      <c r="R227" s="9">
        <v>1</v>
      </c>
      <c r="T227" s="10"/>
      <c r="U227" s="11"/>
      <c r="V227" s="12"/>
      <c r="W227" s="13">
        <v>6</v>
      </c>
      <c r="Y227" s="6">
        <v>3</v>
      </c>
      <c r="Z227" s="7">
        <v>3</v>
      </c>
      <c r="AA227" s="8"/>
      <c r="AB227" s="9"/>
      <c r="AD227" s="10"/>
      <c r="AE227" s="11"/>
      <c r="AF227" s="12"/>
      <c r="AG227" s="13"/>
      <c r="AI227" s="6"/>
      <c r="AJ227" s="7"/>
      <c r="AK227" s="8"/>
      <c r="AL227" s="9"/>
      <c r="AN227" s="10"/>
      <c r="AO227" s="11"/>
      <c r="AP227" s="12"/>
      <c r="AQ227" s="13"/>
      <c r="AS227" s="6"/>
      <c r="AT227" s="7"/>
      <c r="AU227" s="8"/>
      <c r="AV227" s="9"/>
      <c r="AX227" s="10"/>
      <c r="AY227" s="11"/>
      <c r="AZ227" s="12"/>
      <c r="BA227" s="13"/>
      <c r="BC227" s="6"/>
      <c r="BD227" s="7"/>
      <c r="BE227" s="8"/>
      <c r="BF227" s="9"/>
      <c r="BG227" s="4"/>
      <c r="BH227" s="46">
        <f t="shared" si="40"/>
        <v>13</v>
      </c>
      <c r="BI227" s="47">
        <f t="shared" si="41"/>
        <v>3.9</v>
      </c>
    </row>
    <row r="228" spans="1:61" x14ac:dyDescent="0.25">
      <c r="A228" s="40" t="s">
        <v>440</v>
      </c>
      <c r="B228" s="40"/>
      <c r="C228" s="40" t="s">
        <v>66</v>
      </c>
      <c r="E228" s="6"/>
      <c r="F228" s="7"/>
      <c r="G228" s="8"/>
      <c r="H228" s="9"/>
      <c r="J228" s="10"/>
      <c r="K228" s="11"/>
      <c r="L228" s="12"/>
      <c r="M228" s="13"/>
      <c r="O228" s="6"/>
      <c r="P228" s="7"/>
      <c r="Q228" s="8"/>
      <c r="R228" s="9">
        <v>1</v>
      </c>
      <c r="T228" s="10"/>
      <c r="U228" s="11"/>
      <c r="V228" s="12"/>
      <c r="W228" s="13"/>
      <c r="Y228" s="6"/>
      <c r="Z228" s="7"/>
      <c r="AA228" s="8"/>
      <c r="AB228" s="9"/>
      <c r="AD228" s="10"/>
      <c r="AE228" s="11"/>
      <c r="AF228" s="12"/>
      <c r="AG228" s="13"/>
      <c r="AI228" s="6"/>
      <c r="AJ228" s="7"/>
      <c r="AK228" s="8"/>
      <c r="AL228" s="9"/>
      <c r="AN228" s="10"/>
      <c r="AO228" s="11"/>
      <c r="AP228" s="12"/>
      <c r="AQ228" s="13"/>
      <c r="AS228" s="6"/>
      <c r="AT228" s="7"/>
      <c r="AU228" s="8"/>
      <c r="AV228" s="9"/>
      <c r="AX228" s="10"/>
      <c r="AY228" s="11"/>
      <c r="AZ228" s="12"/>
      <c r="BA228" s="13"/>
      <c r="BC228" s="6"/>
      <c r="BD228" s="7"/>
      <c r="BE228" s="8"/>
      <c r="BF228" s="9"/>
      <c r="BG228" s="4"/>
      <c r="BH228" s="46">
        <f t="shared" si="40"/>
        <v>1</v>
      </c>
      <c r="BI228" s="47">
        <f t="shared" si="41"/>
        <v>0.3</v>
      </c>
    </row>
    <row r="229" spans="1:61" x14ac:dyDescent="0.25">
      <c r="A229" s="40" t="s">
        <v>436</v>
      </c>
      <c r="B229" s="40"/>
      <c r="C229" s="40" t="s">
        <v>66</v>
      </c>
      <c r="E229" s="6"/>
      <c r="F229" s="7"/>
      <c r="G229" s="8"/>
      <c r="H229" s="9"/>
      <c r="J229" s="10"/>
      <c r="K229" s="11"/>
      <c r="L229" s="12"/>
      <c r="M229" s="13"/>
      <c r="O229" s="6"/>
      <c r="P229" s="7"/>
      <c r="Q229" s="8"/>
      <c r="R229" s="9">
        <v>5</v>
      </c>
      <c r="T229" s="10"/>
      <c r="U229" s="11"/>
      <c r="V229" s="12"/>
      <c r="W229" s="13"/>
      <c r="Y229" s="6"/>
      <c r="Z229" s="7"/>
      <c r="AA229" s="8"/>
      <c r="AB229" s="9">
        <v>8</v>
      </c>
      <c r="AD229" s="10"/>
      <c r="AE229" s="11"/>
      <c r="AF229" s="12"/>
      <c r="AG229" s="13"/>
      <c r="AI229" s="6"/>
      <c r="AJ229" s="7"/>
      <c r="AK229" s="8"/>
      <c r="AL229" s="9"/>
      <c r="AN229" s="10"/>
      <c r="AO229" s="11"/>
      <c r="AP229" s="12"/>
      <c r="AQ229" s="13"/>
      <c r="AS229" s="6"/>
      <c r="AT229" s="7"/>
      <c r="AU229" s="8"/>
      <c r="AV229" s="9"/>
      <c r="AX229" s="10"/>
      <c r="AY229" s="11"/>
      <c r="AZ229" s="12"/>
      <c r="BA229" s="13"/>
      <c r="BC229" s="6"/>
      <c r="BD229" s="7"/>
      <c r="BE229" s="8"/>
      <c r="BF229" s="9"/>
      <c r="BG229" s="4"/>
      <c r="BH229" s="46">
        <f t="shared" si="40"/>
        <v>13</v>
      </c>
      <c r="BI229" s="47">
        <f t="shared" si="41"/>
        <v>3.9</v>
      </c>
    </row>
    <row r="230" spans="1:61" x14ac:dyDescent="0.25">
      <c r="A230" s="40" t="s">
        <v>437</v>
      </c>
      <c r="B230" s="40"/>
      <c r="C230" s="40" t="s">
        <v>66</v>
      </c>
      <c r="E230" s="6"/>
      <c r="F230" s="7"/>
      <c r="G230" s="8"/>
      <c r="H230" s="9"/>
      <c r="J230" s="10"/>
      <c r="K230" s="11"/>
      <c r="L230" s="12"/>
      <c r="M230" s="13"/>
      <c r="O230" s="6"/>
      <c r="P230" s="7"/>
      <c r="Q230" s="8"/>
      <c r="R230" s="9">
        <v>6</v>
      </c>
      <c r="T230" s="10"/>
      <c r="U230" s="11"/>
      <c r="V230" s="12"/>
      <c r="W230" s="13"/>
      <c r="Y230" s="6"/>
      <c r="Z230" s="7"/>
      <c r="AA230" s="8"/>
      <c r="AB230" s="9">
        <v>5</v>
      </c>
      <c r="AD230" s="10"/>
      <c r="AE230" s="11"/>
      <c r="AF230" s="12"/>
      <c r="AG230" s="13"/>
      <c r="AI230" s="6"/>
      <c r="AJ230" s="7"/>
      <c r="AK230" s="8"/>
      <c r="AL230" s="9"/>
      <c r="AN230" s="10"/>
      <c r="AO230" s="11"/>
      <c r="AP230" s="12"/>
      <c r="AQ230" s="13"/>
      <c r="AS230" s="6"/>
      <c r="AT230" s="7"/>
      <c r="AU230" s="8"/>
      <c r="AV230" s="9"/>
      <c r="AX230" s="10"/>
      <c r="AY230" s="11"/>
      <c r="AZ230" s="12"/>
      <c r="BA230" s="13"/>
      <c r="BC230" s="6"/>
      <c r="BD230" s="7"/>
      <c r="BE230" s="8"/>
      <c r="BF230" s="9"/>
      <c r="BG230" s="4"/>
      <c r="BH230" s="46">
        <f t="shared" si="40"/>
        <v>11</v>
      </c>
      <c r="BI230" s="47">
        <f t="shared" si="41"/>
        <v>3.3</v>
      </c>
    </row>
    <row r="231" spans="1:61" x14ac:dyDescent="0.25">
      <c r="A231" s="40" t="s">
        <v>438</v>
      </c>
      <c r="B231" s="40"/>
      <c r="C231" s="40" t="s">
        <v>66</v>
      </c>
      <c r="E231" s="6"/>
      <c r="F231" s="7"/>
      <c r="G231" s="8"/>
      <c r="H231" s="9"/>
      <c r="J231" s="10"/>
      <c r="K231" s="11"/>
      <c r="L231" s="12"/>
      <c r="M231" s="13"/>
      <c r="O231" s="6"/>
      <c r="P231" s="7"/>
      <c r="Q231" s="8"/>
      <c r="R231" s="9">
        <v>1</v>
      </c>
      <c r="T231" s="10"/>
      <c r="U231" s="11"/>
      <c r="V231" s="12"/>
      <c r="W231" s="13"/>
      <c r="Y231" s="6"/>
      <c r="Z231" s="7"/>
      <c r="AA231" s="8"/>
      <c r="AB231" s="9"/>
      <c r="AD231" s="10"/>
      <c r="AE231" s="11"/>
      <c r="AF231" s="12"/>
      <c r="AG231" s="13"/>
      <c r="AI231" s="6"/>
      <c r="AJ231" s="7"/>
      <c r="AK231" s="8"/>
      <c r="AL231" s="9"/>
      <c r="AN231" s="10"/>
      <c r="AO231" s="11"/>
      <c r="AP231" s="12"/>
      <c r="AQ231" s="13"/>
      <c r="AS231" s="6"/>
      <c r="AT231" s="7"/>
      <c r="AU231" s="8"/>
      <c r="AV231" s="9"/>
      <c r="AX231" s="10"/>
      <c r="AY231" s="11"/>
      <c r="AZ231" s="12"/>
      <c r="BA231" s="13"/>
      <c r="BC231" s="6"/>
      <c r="BD231" s="7"/>
      <c r="BE231" s="8"/>
      <c r="BF231" s="9"/>
      <c r="BG231" s="4"/>
      <c r="BH231" s="46">
        <f t="shared" si="40"/>
        <v>1</v>
      </c>
      <c r="BI231" s="47">
        <f t="shared" si="41"/>
        <v>0.3</v>
      </c>
    </row>
    <row r="232" spans="1:61" x14ac:dyDescent="0.25">
      <c r="A232" s="40" t="s">
        <v>439</v>
      </c>
      <c r="B232" s="40"/>
      <c r="C232" s="40" t="s">
        <v>66</v>
      </c>
      <c r="E232" s="6"/>
      <c r="F232" s="7"/>
      <c r="G232" s="8"/>
      <c r="H232" s="9"/>
      <c r="J232" s="10"/>
      <c r="K232" s="11"/>
      <c r="L232" s="12"/>
      <c r="M232" s="13"/>
      <c r="O232" s="6"/>
      <c r="P232" s="7"/>
      <c r="Q232" s="8"/>
      <c r="R232" s="9">
        <v>4</v>
      </c>
      <c r="T232" s="10"/>
      <c r="U232" s="11"/>
      <c r="V232" s="12"/>
      <c r="W232" s="13"/>
      <c r="Y232" s="6"/>
      <c r="Z232" s="7"/>
      <c r="AA232" s="8"/>
      <c r="AB232" s="9">
        <v>2</v>
      </c>
      <c r="AD232" s="10"/>
      <c r="AE232" s="11"/>
      <c r="AF232" s="12"/>
      <c r="AG232" s="13"/>
      <c r="AI232" s="6"/>
      <c r="AJ232" s="7"/>
      <c r="AK232" s="8"/>
      <c r="AL232" s="9"/>
      <c r="AN232" s="10"/>
      <c r="AO232" s="11"/>
      <c r="AP232" s="12"/>
      <c r="AQ232" s="13"/>
      <c r="AS232" s="6"/>
      <c r="AT232" s="7"/>
      <c r="AU232" s="8"/>
      <c r="AV232" s="9"/>
      <c r="AX232" s="10"/>
      <c r="AY232" s="11"/>
      <c r="AZ232" s="12"/>
      <c r="BA232" s="13"/>
      <c r="BC232" s="6"/>
      <c r="BD232" s="7"/>
      <c r="BE232" s="8"/>
      <c r="BF232" s="9"/>
      <c r="BG232" s="4"/>
      <c r="BH232" s="46">
        <f t="shared" si="40"/>
        <v>6</v>
      </c>
      <c r="BI232" s="47">
        <f t="shared" si="41"/>
        <v>1.7999999999999998</v>
      </c>
    </row>
    <row r="233" spans="1:61" x14ac:dyDescent="0.25">
      <c r="A233" s="40" t="s">
        <v>441</v>
      </c>
      <c r="B233" s="40"/>
      <c r="C233" s="40" t="s">
        <v>66</v>
      </c>
      <c r="E233" s="6"/>
      <c r="F233" s="7"/>
      <c r="G233" s="8"/>
      <c r="H233" s="9"/>
      <c r="J233" s="10"/>
      <c r="K233" s="11"/>
      <c r="L233" s="12"/>
      <c r="M233" s="13"/>
      <c r="O233" s="6"/>
      <c r="P233" s="7"/>
      <c r="Q233" s="8"/>
      <c r="R233" s="9">
        <v>5</v>
      </c>
      <c r="T233" s="10"/>
      <c r="U233" s="11"/>
      <c r="V233" s="12"/>
      <c r="W233" s="13"/>
      <c r="Y233" s="6"/>
      <c r="Z233" s="7"/>
      <c r="AA233" s="8"/>
      <c r="AB233" s="9"/>
      <c r="AD233" s="10"/>
      <c r="AE233" s="11"/>
      <c r="AF233" s="12"/>
      <c r="AG233" s="13"/>
      <c r="AI233" s="6"/>
      <c r="AJ233" s="7"/>
      <c r="AK233" s="8"/>
      <c r="AL233" s="9"/>
      <c r="AN233" s="10"/>
      <c r="AO233" s="11"/>
      <c r="AP233" s="12"/>
      <c r="AQ233" s="13"/>
      <c r="AS233" s="6"/>
      <c r="AT233" s="7"/>
      <c r="AU233" s="8"/>
      <c r="AV233" s="9"/>
      <c r="AX233" s="10"/>
      <c r="AY233" s="11"/>
      <c r="AZ233" s="12"/>
      <c r="BA233" s="13"/>
      <c r="BC233" s="6"/>
      <c r="BD233" s="7"/>
      <c r="BE233" s="8"/>
      <c r="BF233" s="9"/>
      <c r="BG233" s="4"/>
      <c r="BH233" s="46">
        <f t="shared" si="40"/>
        <v>5</v>
      </c>
      <c r="BI233" s="47">
        <f t="shared" si="41"/>
        <v>1.5</v>
      </c>
    </row>
    <row r="234" spans="1:61" x14ac:dyDescent="0.25">
      <c r="A234" s="40" t="s">
        <v>216</v>
      </c>
      <c r="B234" s="40"/>
      <c r="C234" s="40" t="s">
        <v>66</v>
      </c>
      <c r="E234" s="6"/>
      <c r="F234" s="7"/>
      <c r="G234" s="8"/>
      <c r="H234" s="9"/>
      <c r="J234" s="10"/>
      <c r="K234" s="11"/>
      <c r="L234" s="12"/>
      <c r="M234" s="13"/>
      <c r="O234" s="6"/>
      <c r="P234" s="7"/>
      <c r="Q234" s="8"/>
      <c r="R234" s="9">
        <v>8</v>
      </c>
      <c r="T234" s="10"/>
      <c r="U234" s="11"/>
      <c r="V234" s="12"/>
      <c r="W234" s="13"/>
      <c r="Y234" s="6"/>
      <c r="Z234" s="7"/>
      <c r="AA234" s="8"/>
      <c r="AB234" s="9"/>
      <c r="AD234" s="10"/>
      <c r="AE234" s="11"/>
      <c r="AF234" s="12"/>
      <c r="AG234" s="13"/>
      <c r="AI234" s="6"/>
      <c r="AJ234" s="7"/>
      <c r="AK234" s="8"/>
      <c r="AL234" s="9"/>
      <c r="AN234" s="10"/>
      <c r="AO234" s="11"/>
      <c r="AP234" s="12"/>
      <c r="AQ234" s="13"/>
      <c r="AS234" s="6"/>
      <c r="AT234" s="7"/>
      <c r="AU234" s="8"/>
      <c r="AV234" s="9"/>
      <c r="AX234" s="10"/>
      <c r="AY234" s="11"/>
      <c r="AZ234" s="12"/>
      <c r="BA234" s="13"/>
      <c r="BC234" s="6"/>
      <c r="BD234" s="7"/>
      <c r="BE234" s="8"/>
      <c r="BF234" s="9"/>
      <c r="BG234" s="4"/>
      <c r="BH234" s="46">
        <f t="shared" si="40"/>
        <v>8</v>
      </c>
      <c r="BI234" s="47">
        <f t="shared" si="41"/>
        <v>2.4</v>
      </c>
    </row>
    <row r="235" spans="1:61" x14ac:dyDescent="0.25">
      <c r="A235" s="40" t="s">
        <v>408</v>
      </c>
      <c r="B235" s="40">
        <v>4</v>
      </c>
      <c r="C235" s="40" t="s">
        <v>66</v>
      </c>
      <c r="E235" s="6"/>
      <c r="F235" s="7"/>
      <c r="G235" s="8"/>
      <c r="H235" s="9">
        <v>2</v>
      </c>
      <c r="J235" s="10"/>
      <c r="K235" s="11"/>
      <c r="L235" s="12"/>
      <c r="M235" s="13"/>
      <c r="O235" s="6"/>
      <c r="P235" s="7"/>
      <c r="Q235" s="8"/>
      <c r="R235" s="9">
        <v>2</v>
      </c>
      <c r="T235" s="10"/>
      <c r="U235" s="11"/>
      <c r="V235" s="12"/>
      <c r="W235" s="13"/>
      <c r="Y235" s="6"/>
      <c r="Z235" s="7"/>
      <c r="AA235" s="8"/>
      <c r="AB235" s="9">
        <v>1</v>
      </c>
      <c r="AD235" s="10"/>
      <c r="AE235" s="11"/>
      <c r="AF235" s="12"/>
      <c r="AG235" s="13">
        <v>3</v>
      </c>
      <c r="AI235" s="6"/>
      <c r="AJ235" s="7"/>
      <c r="AK235" s="8"/>
      <c r="AL235" s="9"/>
      <c r="AN235" s="10"/>
      <c r="AO235" s="11"/>
      <c r="AP235" s="12"/>
      <c r="AQ235" s="13"/>
      <c r="AS235" s="6"/>
      <c r="AT235" s="7"/>
      <c r="AU235" s="8"/>
      <c r="AV235" s="9"/>
      <c r="AX235" s="10"/>
      <c r="AY235" s="11"/>
      <c r="AZ235" s="12"/>
      <c r="BA235" s="13"/>
      <c r="BC235" s="6"/>
      <c r="BD235" s="7"/>
      <c r="BE235" s="8"/>
      <c r="BF235" s="9"/>
      <c r="BG235" s="4"/>
      <c r="BH235" s="46">
        <f t="shared" ref="BH235:BH240" si="42">SUM(E235:BF235)</f>
        <v>8</v>
      </c>
      <c r="BI235" s="47">
        <f t="shared" ref="BI235:BI240" si="43">(SUM(E235:BG235)*$D$2)</f>
        <v>2.4</v>
      </c>
    </row>
    <row r="236" spans="1:61" x14ac:dyDescent="0.25">
      <c r="A236" s="40" t="s">
        <v>447</v>
      </c>
      <c r="B236" s="40"/>
      <c r="C236" s="40" t="s">
        <v>66</v>
      </c>
      <c r="E236" s="6"/>
      <c r="F236" s="7"/>
      <c r="G236" s="8"/>
      <c r="H236" s="9"/>
      <c r="J236" s="10"/>
      <c r="K236" s="11"/>
      <c r="L236" s="12"/>
      <c r="M236" s="13"/>
      <c r="O236" s="6"/>
      <c r="P236" s="7"/>
      <c r="Q236" s="8"/>
      <c r="R236" s="9"/>
      <c r="T236" s="10"/>
      <c r="U236" s="11"/>
      <c r="V236" s="12"/>
      <c r="W236" s="13">
        <v>2</v>
      </c>
      <c r="Y236" s="6"/>
      <c r="Z236" s="7"/>
      <c r="AA236" s="8"/>
      <c r="AB236" s="9"/>
      <c r="AD236" s="10"/>
      <c r="AE236" s="11"/>
      <c r="AF236" s="12"/>
      <c r="AG236" s="13"/>
      <c r="AI236" s="6"/>
      <c r="AJ236" s="7"/>
      <c r="AK236" s="8"/>
      <c r="AL236" s="9"/>
      <c r="AN236" s="10"/>
      <c r="AO236" s="11"/>
      <c r="AP236" s="12"/>
      <c r="AQ236" s="13"/>
      <c r="AS236" s="6"/>
      <c r="AT236" s="7"/>
      <c r="AU236" s="8"/>
      <c r="AV236" s="9"/>
      <c r="AX236" s="10"/>
      <c r="AY236" s="11"/>
      <c r="AZ236" s="12"/>
      <c r="BA236" s="13"/>
      <c r="BC236" s="6"/>
      <c r="BD236" s="7"/>
      <c r="BE236" s="8"/>
      <c r="BF236" s="9"/>
      <c r="BG236" s="4"/>
      <c r="BH236" s="46">
        <f t="shared" si="42"/>
        <v>2</v>
      </c>
      <c r="BI236" s="47">
        <f t="shared" si="43"/>
        <v>0.6</v>
      </c>
    </row>
    <row r="237" spans="1:61" x14ac:dyDescent="0.25">
      <c r="A237" s="40" t="s">
        <v>448</v>
      </c>
      <c r="B237" s="40"/>
      <c r="C237" s="40" t="s">
        <v>66</v>
      </c>
      <c r="E237" s="6"/>
      <c r="F237" s="7"/>
      <c r="G237" s="8"/>
      <c r="H237" s="9"/>
      <c r="J237" s="10"/>
      <c r="K237" s="11"/>
      <c r="L237" s="12"/>
      <c r="M237" s="13"/>
      <c r="O237" s="6"/>
      <c r="P237" s="7"/>
      <c r="Q237" s="8"/>
      <c r="R237" s="9"/>
      <c r="T237" s="10"/>
      <c r="U237" s="11"/>
      <c r="V237" s="12"/>
      <c r="W237" s="13">
        <v>3</v>
      </c>
      <c r="Y237" s="6"/>
      <c r="Z237" s="7"/>
      <c r="AA237" s="8"/>
      <c r="AB237" s="9"/>
      <c r="AD237" s="10"/>
      <c r="AE237" s="11"/>
      <c r="AF237" s="12"/>
      <c r="AG237" s="13">
        <v>1</v>
      </c>
      <c r="AI237" s="6"/>
      <c r="AJ237" s="7"/>
      <c r="AK237" s="8"/>
      <c r="AL237" s="9"/>
      <c r="AN237" s="10"/>
      <c r="AO237" s="11"/>
      <c r="AP237" s="12"/>
      <c r="AQ237" s="13"/>
      <c r="AS237" s="6"/>
      <c r="AT237" s="7"/>
      <c r="AU237" s="8"/>
      <c r="AV237" s="9"/>
      <c r="AX237" s="10"/>
      <c r="AY237" s="11"/>
      <c r="AZ237" s="12"/>
      <c r="BA237" s="13"/>
      <c r="BC237" s="6"/>
      <c r="BD237" s="7"/>
      <c r="BE237" s="8"/>
      <c r="BF237" s="9"/>
      <c r="BG237" s="4"/>
      <c r="BH237" s="46">
        <f t="shared" si="42"/>
        <v>4</v>
      </c>
      <c r="BI237" s="47">
        <f t="shared" si="43"/>
        <v>1.2</v>
      </c>
    </row>
    <row r="238" spans="1:61" x14ac:dyDescent="0.25">
      <c r="A238" s="40" t="s">
        <v>449</v>
      </c>
      <c r="B238" s="40"/>
      <c r="C238" s="40" t="s">
        <v>66</v>
      </c>
      <c r="E238" s="6"/>
      <c r="F238" s="7"/>
      <c r="G238" s="8"/>
      <c r="H238" s="9"/>
      <c r="J238" s="10"/>
      <c r="K238" s="11"/>
      <c r="L238" s="12"/>
      <c r="M238" s="13"/>
      <c r="O238" s="6"/>
      <c r="P238" s="7"/>
      <c r="Q238" s="8"/>
      <c r="R238" s="9"/>
      <c r="T238" s="10"/>
      <c r="U238" s="11"/>
      <c r="V238" s="12"/>
      <c r="W238" s="13">
        <v>3</v>
      </c>
      <c r="Y238" s="6"/>
      <c r="Z238" s="7"/>
      <c r="AA238" s="8"/>
      <c r="AB238" s="9">
        <v>7</v>
      </c>
      <c r="AD238" s="10"/>
      <c r="AE238" s="11"/>
      <c r="AF238" s="12"/>
      <c r="AG238" s="13">
        <v>1</v>
      </c>
      <c r="AI238" s="6"/>
      <c r="AJ238" s="7"/>
      <c r="AK238" s="8"/>
      <c r="AL238" s="9"/>
      <c r="AN238" s="10"/>
      <c r="AO238" s="11"/>
      <c r="AP238" s="12"/>
      <c r="AQ238" s="13"/>
      <c r="AS238" s="6"/>
      <c r="AT238" s="7"/>
      <c r="AU238" s="8"/>
      <c r="AV238" s="9"/>
      <c r="AX238" s="10"/>
      <c r="AY238" s="11"/>
      <c r="AZ238" s="12"/>
      <c r="BA238" s="13"/>
      <c r="BC238" s="6"/>
      <c r="BD238" s="7"/>
      <c r="BE238" s="8"/>
      <c r="BF238" s="9"/>
      <c r="BG238" s="4"/>
      <c r="BH238" s="46">
        <f t="shared" si="42"/>
        <v>11</v>
      </c>
      <c r="BI238" s="47">
        <f t="shared" si="43"/>
        <v>3.3</v>
      </c>
    </row>
    <row r="239" spans="1:61" x14ac:dyDescent="0.25">
      <c r="A239" s="40" t="s">
        <v>453</v>
      </c>
      <c r="B239" s="40"/>
      <c r="C239" s="40" t="s">
        <v>66</v>
      </c>
      <c r="E239" s="6"/>
      <c r="F239" s="7"/>
      <c r="G239" s="8"/>
      <c r="H239" s="9"/>
      <c r="J239" s="10"/>
      <c r="K239" s="11"/>
      <c r="L239" s="12"/>
      <c r="M239" s="13"/>
      <c r="O239" s="6"/>
      <c r="P239" s="7"/>
      <c r="Q239" s="8"/>
      <c r="R239" s="9"/>
      <c r="T239" s="10"/>
      <c r="U239" s="11"/>
      <c r="V239" s="12"/>
      <c r="W239" s="13">
        <v>3</v>
      </c>
      <c r="Y239" s="6"/>
      <c r="Z239" s="7"/>
      <c r="AA239" s="8"/>
      <c r="AB239" s="9">
        <v>5</v>
      </c>
      <c r="AD239" s="10"/>
      <c r="AE239" s="11"/>
      <c r="AF239" s="12"/>
      <c r="AG239" s="13">
        <v>5</v>
      </c>
      <c r="AI239" s="6"/>
      <c r="AJ239" s="7"/>
      <c r="AK239" s="8"/>
      <c r="AL239" s="9"/>
      <c r="AN239" s="10"/>
      <c r="AO239" s="11"/>
      <c r="AP239" s="12"/>
      <c r="AQ239" s="13"/>
      <c r="AS239" s="6"/>
      <c r="AT239" s="7"/>
      <c r="AU239" s="8"/>
      <c r="AV239" s="9"/>
      <c r="AX239" s="10"/>
      <c r="AY239" s="11"/>
      <c r="AZ239" s="12"/>
      <c r="BA239" s="13"/>
      <c r="BC239" s="6"/>
      <c r="BD239" s="7"/>
      <c r="BE239" s="8"/>
      <c r="BF239" s="9"/>
      <c r="BG239" s="4"/>
      <c r="BH239" s="46">
        <f t="shared" si="42"/>
        <v>13</v>
      </c>
      <c r="BI239" s="47">
        <f t="shared" si="43"/>
        <v>3.9</v>
      </c>
    </row>
    <row r="240" spans="1:61" x14ac:dyDescent="0.25">
      <c r="A240" s="40" t="s">
        <v>454</v>
      </c>
      <c r="B240" s="40"/>
      <c r="C240" s="40" t="s">
        <v>66</v>
      </c>
      <c r="E240" s="6"/>
      <c r="F240" s="7"/>
      <c r="G240" s="8"/>
      <c r="H240" s="9"/>
      <c r="J240" s="10"/>
      <c r="K240" s="11"/>
      <c r="L240" s="12"/>
      <c r="M240" s="13"/>
      <c r="O240" s="6"/>
      <c r="P240" s="7"/>
      <c r="Q240" s="8"/>
      <c r="R240" s="9"/>
      <c r="T240" s="10"/>
      <c r="U240" s="11"/>
      <c r="V240" s="12"/>
      <c r="W240" s="13"/>
      <c r="Y240" s="6"/>
      <c r="Z240" s="7"/>
      <c r="AA240" s="8"/>
      <c r="AB240" s="9">
        <v>1</v>
      </c>
      <c r="AD240" s="10"/>
      <c r="AE240" s="11"/>
      <c r="AF240" s="12"/>
      <c r="AG240" s="13"/>
      <c r="AI240" s="6"/>
      <c r="AJ240" s="7"/>
      <c r="AK240" s="8"/>
      <c r="AL240" s="9"/>
      <c r="AN240" s="10"/>
      <c r="AO240" s="11"/>
      <c r="AP240" s="12"/>
      <c r="AQ240" s="13"/>
      <c r="AS240" s="6"/>
      <c r="AT240" s="7"/>
      <c r="AU240" s="8"/>
      <c r="AV240" s="9"/>
      <c r="AX240" s="10"/>
      <c r="AY240" s="11"/>
      <c r="AZ240" s="12"/>
      <c r="BA240" s="13"/>
      <c r="BC240" s="6"/>
      <c r="BD240" s="7"/>
      <c r="BE240" s="8"/>
      <c r="BF240" s="9"/>
      <c r="BG240" s="4"/>
      <c r="BH240" s="46">
        <f t="shared" si="42"/>
        <v>1</v>
      </c>
      <c r="BI240" s="47">
        <f t="shared" si="43"/>
        <v>0.3</v>
      </c>
    </row>
    <row r="241" spans="1:61" x14ac:dyDescent="0.25">
      <c r="A241" s="40" t="s">
        <v>456</v>
      </c>
      <c r="B241" s="40"/>
      <c r="C241" s="40" t="s">
        <v>66</v>
      </c>
      <c r="E241" s="6"/>
      <c r="F241" s="7"/>
      <c r="G241" s="8"/>
      <c r="H241" s="9"/>
      <c r="J241" s="10"/>
      <c r="K241" s="11"/>
      <c r="L241" s="12"/>
      <c r="M241" s="13"/>
      <c r="O241" s="6"/>
      <c r="P241" s="7"/>
      <c r="Q241" s="8"/>
      <c r="R241" s="9"/>
      <c r="T241" s="10"/>
      <c r="U241" s="11"/>
      <c r="V241" s="12"/>
      <c r="W241" s="13">
        <v>3</v>
      </c>
      <c r="Y241" s="6"/>
      <c r="Z241" s="7"/>
      <c r="AA241" s="8"/>
      <c r="AB241" s="9"/>
      <c r="AD241" s="10">
        <v>1</v>
      </c>
      <c r="AE241" s="11"/>
      <c r="AF241" s="12"/>
      <c r="AG241" s="13"/>
      <c r="AI241" s="6"/>
      <c r="AJ241" s="7"/>
      <c r="AK241" s="8"/>
      <c r="AL241" s="9"/>
      <c r="AN241" s="10"/>
      <c r="AO241" s="11"/>
      <c r="AP241" s="12"/>
      <c r="AQ241" s="13"/>
      <c r="AS241" s="6"/>
      <c r="AT241" s="7"/>
      <c r="AU241" s="8"/>
      <c r="AV241" s="9"/>
      <c r="AX241" s="10"/>
      <c r="AY241" s="11"/>
      <c r="AZ241" s="12"/>
      <c r="BA241" s="13"/>
      <c r="BC241" s="6"/>
      <c r="BD241" s="7"/>
      <c r="BE241" s="8"/>
      <c r="BF241" s="9"/>
      <c r="BG241" s="4"/>
      <c r="BH241" s="46">
        <f t="shared" si="40"/>
        <v>4</v>
      </c>
      <c r="BI241" s="47">
        <f t="shared" si="41"/>
        <v>1.2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4AD2-6A59-499D-A850-2474D805A5A3}">
  <sheetPr codeName="Sheet2"/>
  <dimension ref="A1:C44"/>
  <sheetViews>
    <sheetView topLeftCell="A16" workbookViewId="0">
      <selection activeCell="B29" sqref="B29"/>
    </sheetView>
  </sheetViews>
  <sheetFormatPr defaultRowHeight="15" x14ac:dyDescent="0.25"/>
  <cols>
    <col min="1" max="1" width="39.7109375" customWidth="1"/>
    <col min="2" max="2" width="18" bestFit="1" customWidth="1"/>
    <col min="3" max="3" width="23.140625" bestFit="1" customWidth="1"/>
  </cols>
  <sheetData>
    <row r="1" spans="1:3" x14ac:dyDescent="0.25">
      <c r="A1" t="s">
        <v>47</v>
      </c>
    </row>
    <row r="2" spans="1:3" x14ac:dyDescent="0.25">
      <c r="B2" t="s">
        <v>45</v>
      </c>
      <c r="C2" t="s">
        <v>46</v>
      </c>
    </row>
    <row r="3" spans="1:3" x14ac:dyDescent="0.25">
      <c r="A3" t="s">
        <v>40</v>
      </c>
      <c r="B3">
        <v>25</v>
      </c>
      <c r="C3">
        <v>10</v>
      </c>
    </row>
    <row r="4" spans="1:3" x14ac:dyDescent="0.25">
      <c r="A4" t="s">
        <v>41</v>
      </c>
      <c r="B4">
        <v>40</v>
      </c>
      <c r="C4">
        <f>C3+B4</f>
        <v>50</v>
      </c>
    </row>
    <row r="5" spans="1:3" x14ac:dyDescent="0.25">
      <c r="A5" t="s">
        <v>15</v>
      </c>
      <c r="B5">
        <v>20</v>
      </c>
      <c r="C5">
        <f t="shared" ref="C5:C20" si="0">C4+B5</f>
        <v>70</v>
      </c>
    </row>
    <row r="6" spans="1:3" x14ac:dyDescent="0.25">
      <c r="A6" t="s">
        <v>17</v>
      </c>
      <c r="B6">
        <v>15</v>
      </c>
      <c r="C6">
        <f t="shared" si="0"/>
        <v>85</v>
      </c>
    </row>
    <row r="7" spans="1:3" x14ac:dyDescent="0.25">
      <c r="A7" t="s">
        <v>19</v>
      </c>
      <c r="B7">
        <v>20</v>
      </c>
      <c r="C7">
        <f t="shared" si="0"/>
        <v>105</v>
      </c>
    </row>
    <row r="8" spans="1:3" x14ac:dyDescent="0.25">
      <c r="A8" t="s">
        <v>21</v>
      </c>
      <c r="B8">
        <v>10</v>
      </c>
      <c r="C8">
        <f t="shared" si="0"/>
        <v>115</v>
      </c>
    </row>
    <row r="9" spans="1:3" x14ac:dyDescent="0.25">
      <c r="A9" t="s">
        <v>23</v>
      </c>
      <c r="B9">
        <v>20</v>
      </c>
      <c r="C9">
        <f t="shared" si="0"/>
        <v>135</v>
      </c>
    </row>
    <row r="10" spans="1:3" x14ac:dyDescent="0.25">
      <c r="A10" t="s">
        <v>25</v>
      </c>
      <c r="B10">
        <v>15</v>
      </c>
      <c r="C10">
        <f t="shared" si="0"/>
        <v>150</v>
      </c>
    </row>
    <row r="11" spans="1:3" x14ac:dyDescent="0.25">
      <c r="A11" t="s">
        <v>26</v>
      </c>
      <c r="B11">
        <v>50</v>
      </c>
      <c r="C11">
        <f t="shared" si="0"/>
        <v>200</v>
      </c>
    </row>
    <row r="12" spans="1:3" x14ac:dyDescent="0.25">
      <c r="A12" t="s">
        <v>28</v>
      </c>
      <c r="B12">
        <v>35</v>
      </c>
      <c r="C12">
        <f t="shared" si="0"/>
        <v>235</v>
      </c>
    </row>
    <row r="13" spans="1:3" x14ac:dyDescent="0.25">
      <c r="A13" t="s">
        <v>30</v>
      </c>
      <c r="B13">
        <v>30</v>
      </c>
      <c r="C13">
        <f t="shared" si="0"/>
        <v>265</v>
      </c>
    </row>
    <row r="14" spans="1:3" x14ac:dyDescent="0.25">
      <c r="A14" t="s">
        <v>32</v>
      </c>
      <c r="B14">
        <v>20</v>
      </c>
      <c r="C14">
        <f t="shared" si="0"/>
        <v>285</v>
      </c>
    </row>
    <row r="15" spans="1:3" x14ac:dyDescent="0.25">
      <c r="A15" t="s">
        <v>42</v>
      </c>
      <c r="B15">
        <v>30</v>
      </c>
      <c r="C15">
        <f t="shared" si="0"/>
        <v>315</v>
      </c>
    </row>
    <row r="16" spans="1:3" x14ac:dyDescent="0.25">
      <c r="A16" t="s">
        <v>43</v>
      </c>
      <c r="B16">
        <v>40</v>
      </c>
      <c r="C16">
        <f t="shared" si="0"/>
        <v>355</v>
      </c>
    </row>
    <row r="17" spans="1:3" x14ac:dyDescent="0.25">
      <c r="A17" t="s">
        <v>44</v>
      </c>
      <c r="B17">
        <v>30</v>
      </c>
      <c r="C17">
        <f t="shared" si="0"/>
        <v>385</v>
      </c>
    </row>
    <row r="18" spans="1:3" x14ac:dyDescent="0.25">
      <c r="A18" t="s">
        <v>34</v>
      </c>
      <c r="B18">
        <v>50</v>
      </c>
      <c r="C18">
        <f t="shared" si="0"/>
        <v>435</v>
      </c>
    </row>
    <row r="19" spans="1:3" x14ac:dyDescent="0.25">
      <c r="A19" t="s">
        <v>36</v>
      </c>
      <c r="B19">
        <v>20</v>
      </c>
      <c r="C19">
        <f t="shared" si="0"/>
        <v>455</v>
      </c>
    </row>
    <row r="20" spans="1:3" x14ac:dyDescent="0.25">
      <c r="A20" t="s">
        <v>38</v>
      </c>
      <c r="B20">
        <v>10</v>
      </c>
      <c r="C20">
        <f t="shared" si="0"/>
        <v>465</v>
      </c>
    </row>
    <row r="22" spans="1:3" x14ac:dyDescent="0.25">
      <c r="A22" t="s">
        <v>69</v>
      </c>
      <c r="B22">
        <v>0</v>
      </c>
      <c r="C22" t="s">
        <v>79</v>
      </c>
    </row>
    <row r="23" spans="1:3" x14ac:dyDescent="0.25">
      <c r="A23" t="s">
        <v>70</v>
      </c>
      <c r="B23">
        <v>15</v>
      </c>
      <c r="C23" t="s">
        <v>70</v>
      </c>
    </row>
    <row r="24" spans="1:3" x14ac:dyDescent="0.25">
      <c r="A24" t="s">
        <v>76</v>
      </c>
      <c r="B24">
        <v>30</v>
      </c>
      <c r="C24" t="s">
        <v>76</v>
      </c>
    </row>
    <row r="25" spans="1:3" x14ac:dyDescent="0.25">
      <c r="A25" t="s">
        <v>71</v>
      </c>
      <c r="B25">
        <v>45</v>
      </c>
      <c r="C25" t="s">
        <v>71</v>
      </c>
    </row>
    <row r="26" spans="1:3" x14ac:dyDescent="0.25">
      <c r="A26" t="s">
        <v>24</v>
      </c>
      <c r="B26">
        <v>50</v>
      </c>
      <c r="C26" t="s">
        <v>24</v>
      </c>
    </row>
    <row r="27" spans="1:3" x14ac:dyDescent="0.25">
      <c r="A27" t="s">
        <v>72</v>
      </c>
      <c r="B27">
        <v>45</v>
      </c>
      <c r="C27" t="s">
        <v>72</v>
      </c>
    </row>
    <row r="28" spans="1:3" x14ac:dyDescent="0.25">
      <c r="A28" t="s">
        <v>22</v>
      </c>
      <c r="B28">
        <v>40</v>
      </c>
      <c r="C28" t="s">
        <v>22</v>
      </c>
    </row>
    <row r="29" spans="1:3" x14ac:dyDescent="0.25">
      <c r="A29" t="s">
        <v>20</v>
      </c>
      <c r="B29">
        <v>40</v>
      </c>
      <c r="C29" t="s">
        <v>20</v>
      </c>
    </row>
    <row r="30" spans="1:3" x14ac:dyDescent="0.25">
      <c r="A30" t="s">
        <v>18</v>
      </c>
      <c r="B30">
        <v>60</v>
      </c>
      <c r="C30" t="s">
        <v>18</v>
      </c>
    </row>
    <row r="31" spans="1:3" x14ac:dyDescent="0.25">
      <c r="A31" t="s">
        <v>16</v>
      </c>
      <c r="B31">
        <v>75</v>
      </c>
      <c r="C31" t="s">
        <v>16</v>
      </c>
    </row>
    <row r="32" spans="1:3" x14ac:dyDescent="0.25">
      <c r="A32" t="s">
        <v>14</v>
      </c>
      <c r="B32">
        <v>90</v>
      </c>
      <c r="C32" t="s">
        <v>14</v>
      </c>
    </row>
    <row r="33" spans="1:3" x14ac:dyDescent="0.25">
      <c r="A33" t="s">
        <v>73</v>
      </c>
      <c r="B33">
        <v>35</v>
      </c>
      <c r="C33" t="s">
        <v>73</v>
      </c>
    </row>
    <row r="34" spans="1:3" x14ac:dyDescent="0.25">
      <c r="A34" t="s">
        <v>33</v>
      </c>
      <c r="B34">
        <v>40</v>
      </c>
      <c r="C34" t="s">
        <v>33</v>
      </c>
    </row>
    <row r="35" spans="1:3" x14ac:dyDescent="0.25">
      <c r="A35" t="s">
        <v>77</v>
      </c>
      <c r="B35">
        <v>50</v>
      </c>
      <c r="C35" t="s">
        <v>77</v>
      </c>
    </row>
    <row r="36" spans="1:3" x14ac:dyDescent="0.25">
      <c r="A36" t="s">
        <v>74</v>
      </c>
      <c r="B36">
        <v>60</v>
      </c>
      <c r="C36" t="s">
        <v>74</v>
      </c>
    </row>
    <row r="37" spans="1:3" x14ac:dyDescent="0.25">
      <c r="A37" t="s">
        <v>78</v>
      </c>
      <c r="B37">
        <v>30</v>
      </c>
      <c r="C37" t="s">
        <v>78</v>
      </c>
    </row>
    <row r="38" spans="1:3" x14ac:dyDescent="0.25">
      <c r="A38" t="s">
        <v>31</v>
      </c>
      <c r="B38">
        <v>40</v>
      </c>
      <c r="C38" t="s">
        <v>31</v>
      </c>
    </row>
    <row r="39" spans="1:3" x14ac:dyDescent="0.25">
      <c r="A39" t="s">
        <v>29</v>
      </c>
      <c r="B39">
        <v>70</v>
      </c>
      <c r="C39" t="s">
        <v>29</v>
      </c>
    </row>
    <row r="40" spans="1:3" x14ac:dyDescent="0.25">
      <c r="A40" t="s">
        <v>27</v>
      </c>
      <c r="B40">
        <v>90</v>
      </c>
      <c r="C40" t="s">
        <v>27</v>
      </c>
    </row>
    <row r="41" spans="1:3" x14ac:dyDescent="0.25">
      <c r="A41" t="s">
        <v>75</v>
      </c>
      <c r="B41">
        <v>65</v>
      </c>
      <c r="C41" t="s">
        <v>75</v>
      </c>
    </row>
    <row r="42" spans="1:3" x14ac:dyDescent="0.25">
      <c r="A42" t="s">
        <v>35</v>
      </c>
      <c r="B42">
        <v>100</v>
      </c>
      <c r="C42" t="s">
        <v>35</v>
      </c>
    </row>
    <row r="43" spans="1:3" x14ac:dyDescent="0.25">
      <c r="A43" t="s">
        <v>37</v>
      </c>
      <c r="B43">
        <v>110</v>
      </c>
      <c r="C43" t="s">
        <v>37</v>
      </c>
    </row>
    <row r="44" spans="1:3" x14ac:dyDescent="0.25">
      <c r="A44" t="s">
        <v>39</v>
      </c>
      <c r="B44">
        <v>120</v>
      </c>
      <c r="C44" t="s">
        <v>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6B5B-A1B4-4456-8A16-2A14177A4553}">
  <dimension ref="A1:F101"/>
  <sheetViews>
    <sheetView topLeftCell="A22" workbookViewId="0">
      <selection activeCell="H9" sqref="H9"/>
    </sheetView>
  </sheetViews>
  <sheetFormatPr defaultRowHeight="15" x14ac:dyDescent="0.25"/>
  <sheetData>
    <row r="1" spans="1:6" ht="54.75" thickBot="1" x14ac:dyDescent="0.3">
      <c r="A1" s="25" t="s">
        <v>85</v>
      </c>
      <c r="B1" s="26"/>
      <c r="C1" s="26">
        <v>7</v>
      </c>
      <c r="D1" s="26">
        <v>8</v>
      </c>
      <c r="E1" s="26"/>
      <c r="F1" s="27">
        <v>15</v>
      </c>
    </row>
    <row r="2" spans="1:6" ht="54.75" thickBot="1" x14ac:dyDescent="0.3">
      <c r="A2" s="28" t="s">
        <v>86</v>
      </c>
      <c r="B2" s="29">
        <v>5</v>
      </c>
      <c r="C2" s="29">
        <v>6</v>
      </c>
      <c r="D2" s="29">
        <v>7</v>
      </c>
      <c r="E2" s="29">
        <v>8</v>
      </c>
      <c r="F2" s="30">
        <v>26</v>
      </c>
    </row>
    <row r="3" spans="1:6" ht="54.75" thickBot="1" x14ac:dyDescent="0.3">
      <c r="A3" s="28" t="s">
        <v>87</v>
      </c>
      <c r="B3" s="29">
        <v>4</v>
      </c>
      <c r="C3" s="29">
        <v>7</v>
      </c>
      <c r="D3" s="29">
        <v>8</v>
      </c>
      <c r="E3" s="29">
        <v>6</v>
      </c>
      <c r="F3" s="30">
        <v>25</v>
      </c>
    </row>
    <row r="4" spans="1:6" ht="36.75" thickBot="1" x14ac:dyDescent="0.3">
      <c r="A4" s="28" t="s">
        <v>88</v>
      </c>
      <c r="B4" s="29">
        <v>5</v>
      </c>
      <c r="C4" s="29">
        <v>7</v>
      </c>
      <c r="D4" s="29">
        <v>6</v>
      </c>
      <c r="E4" s="29">
        <v>6</v>
      </c>
      <c r="F4" s="30">
        <v>24</v>
      </c>
    </row>
    <row r="5" spans="1:6" ht="36.75" thickBot="1" x14ac:dyDescent="0.3">
      <c r="A5" s="28" t="s">
        <v>89</v>
      </c>
      <c r="B5" s="29"/>
      <c r="C5" s="29">
        <v>5</v>
      </c>
      <c r="D5" s="29">
        <v>6</v>
      </c>
      <c r="E5" s="29">
        <v>6</v>
      </c>
      <c r="F5" s="30">
        <v>17</v>
      </c>
    </row>
    <row r="6" spans="1:6" ht="54.75" thickBot="1" x14ac:dyDescent="0.3">
      <c r="A6" s="28" t="s">
        <v>90</v>
      </c>
      <c r="B6" s="29">
        <v>4</v>
      </c>
      <c r="C6" s="29">
        <v>6</v>
      </c>
      <c r="D6" s="29"/>
      <c r="E6" s="29">
        <v>8</v>
      </c>
      <c r="F6" s="30">
        <v>18</v>
      </c>
    </row>
    <row r="7" spans="1:6" ht="72.75" thickBot="1" x14ac:dyDescent="0.3">
      <c r="A7" s="28" t="s">
        <v>91</v>
      </c>
      <c r="B7" s="29"/>
      <c r="C7" s="29"/>
      <c r="D7" s="29">
        <v>3</v>
      </c>
      <c r="E7" s="29">
        <v>2</v>
      </c>
      <c r="F7" s="30">
        <v>5</v>
      </c>
    </row>
    <row r="8" spans="1:6" ht="36.75" thickBot="1" x14ac:dyDescent="0.3">
      <c r="A8" s="28" t="s">
        <v>92</v>
      </c>
      <c r="B8" s="29"/>
      <c r="C8" s="29">
        <v>2</v>
      </c>
      <c r="D8" s="29">
        <v>5</v>
      </c>
      <c r="E8" s="29">
        <v>2</v>
      </c>
      <c r="F8" s="30">
        <v>9</v>
      </c>
    </row>
    <row r="9" spans="1:6" ht="36.75" thickBot="1" x14ac:dyDescent="0.3">
      <c r="A9" s="28" t="s">
        <v>93</v>
      </c>
      <c r="B9" s="29"/>
      <c r="C9" s="29">
        <v>1</v>
      </c>
      <c r="D9" s="29">
        <v>1</v>
      </c>
      <c r="E9" s="29">
        <v>1</v>
      </c>
      <c r="F9" s="30">
        <v>3</v>
      </c>
    </row>
    <row r="10" spans="1:6" ht="54.75" thickBot="1" x14ac:dyDescent="0.3">
      <c r="A10" s="28" t="s">
        <v>94</v>
      </c>
      <c r="B10" s="29">
        <v>5</v>
      </c>
      <c r="C10" s="29"/>
      <c r="D10" s="29">
        <v>8</v>
      </c>
      <c r="E10" s="29"/>
      <c r="F10" s="30">
        <v>13</v>
      </c>
    </row>
    <row r="11" spans="1:6" ht="36.75" thickBot="1" x14ac:dyDescent="0.3">
      <c r="A11" s="28" t="s">
        <v>95</v>
      </c>
      <c r="B11" s="29"/>
      <c r="C11" s="29"/>
      <c r="D11" s="29">
        <v>4</v>
      </c>
      <c r="E11" s="29">
        <v>2</v>
      </c>
      <c r="F11" s="30">
        <v>6</v>
      </c>
    </row>
    <row r="12" spans="1:6" ht="54.75" thickBot="1" x14ac:dyDescent="0.3">
      <c r="A12" s="28" t="s">
        <v>96</v>
      </c>
      <c r="B12" s="29">
        <v>1</v>
      </c>
      <c r="C12" s="29"/>
      <c r="D12" s="29">
        <v>5</v>
      </c>
      <c r="E12" s="29"/>
      <c r="F12" s="30">
        <v>6</v>
      </c>
    </row>
    <row r="13" spans="1:6" ht="54.75" thickBot="1" x14ac:dyDescent="0.3">
      <c r="A13" s="28" t="s">
        <v>97</v>
      </c>
      <c r="B13" s="29">
        <v>1</v>
      </c>
      <c r="C13" s="29"/>
      <c r="D13" s="29">
        <v>4</v>
      </c>
      <c r="E13" s="29">
        <v>4</v>
      </c>
      <c r="F13" s="30">
        <v>9</v>
      </c>
    </row>
    <row r="14" spans="1:6" ht="54.75" thickBot="1" x14ac:dyDescent="0.3">
      <c r="A14" s="28" t="s">
        <v>98</v>
      </c>
      <c r="B14" s="29"/>
      <c r="C14" s="29"/>
      <c r="D14" s="29">
        <v>3</v>
      </c>
      <c r="E14" s="29">
        <v>5</v>
      </c>
      <c r="F14" s="30">
        <v>8</v>
      </c>
    </row>
    <row r="15" spans="1:6" ht="72.75" thickBot="1" x14ac:dyDescent="0.3">
      <c r="A15" s="28" t="s">
        <v>99</v>
      </c>
      <c r="B15" s="29"/>
      <c r="C15" s="29"/>
      <c r="D15" s="29">
        <v>4</v>
      </c>
      <c r="E15" s="29"/>
      <c r="F15" s="30">
        <v>4</v>
      </c>
    </row>
    <row r="16" spans="1:6" ht="36.75" thickBot="1" x14ac:dyDescent="0.3">
      <c r="A16" s="28" t="s">
        <v>100</v>
      </c>
      <c r="B16" s="29">
        <v>1</v>
      </c>
      <c r="C16" s="29"/>
      <c r="D16" s="29">
        <v>2</v>
      </c>
      <c r="E16" s="29">
        <v>1</v>
      </c>
      <c r="F16" s="30">
        <v>4</v>
      </c>
    </row>
    <row r="17" spans="1:6" ht="54.75" thickBot="1" x14ac:dyDescent="0.3">
      <c r="A17" s="28" t="s">
        <v>101</v>
      </c>
      <c r="B17" s="29"/>
      <c r="C17" s="29"/>
      <c r="D17" s="29">
        <v>1</v>
      </c>
      <c r="E17" s="29">
        <v>2</v>
      </c>
      <c r="F17" s="30">
        <v>3</v>
      </c>
    </row>
    <row r="18" spans="1:6" ht="54.75" thickBot="1" x14ac:dyDescent="0.3">
      <c r="A18" s="28" t="s">
        <v>102</v>
      </c>
      <c r="B18" s="29">
        <v>2</v>
      </c>
      <c r="C18" s="29"/>
      <c r="D18" s="29">
        <v>1</v>
      </c>
      <c r="E18" s="29">
        <v>1</v>
      </c>
      <c r="F18" s="30">
        <v>4</v>
      </c>
    </row>
    <row r="19" spans="1:6" ht="36.75" thickBot="1" x14ac:dyDescent="0.3">
      <c r="A19" s="28" t="s">
        <v>103</v>
      </c>
      <c r="B19" s="29"/>
      <c r="C19" s="29"/>
      <c r="D19" s="29">
        <v>2</v>
      </c>
      <c r="E19" s="29"/>
      <c r="F19" s="30">
        <v>2</v>
      </c>
    </row>
    <row r="20" spans="1:6" ht="54.75" thickBot="1" x14ac:dyDescent="0.3">
      <c r="A20" s="28" t="s">
        <v>104</v>
      </c>
      <c r="B20" s="29"/>
      <c r="C20" s="29"/>
      <c r="D20" s="29">
        <v>2</v>
      </c>
      <c r="E20" s="29">
        <v>1</v>
      </c>
      <c r="F20" s="30">
        <v>3</v>
      </c>
    </row>
    <row r="21" spans="1:6" ht="54.75" thickBot="1" x14ac:dyDescent="0.3">
      <c r="A21" s="28" t="s">
        <v>105</v>
      </c>
      <c r="B21" s="29">
        <v>1</v>
      </c>
      <c r="C21" s="29"/>
      <c r="D21" s="29">
        <v>1</v>
      </c>
      <c r="E21" s="29">
        <v>4</v>
      </c>
      <c r="F21" s="30">
        <v>6</v>
      </c>
    </row>
    <row r="22" spans="1:6" ht="54.75" thickBot="1" x14ac:dyDescent="0.3">
      <c r="A22" s="28" t="s">
        <v>106</v>
      </c>
      <c r="B22" s="29"/>
      <c r="C22" s="29"/>
      <c r="D22" s="29">
        <v>2</v>
      </c>
      <c r="E22" s="29"/>
      <c r="F22" s="30">
        <v>2</v>
      </c>
    </row>
    <row r="23" spans="1:6" ht="54.75" thickBot="1" x14ac:dyDescent="0.3">
      <c r="A23" s="28" t="s">
        <v>107</v>
      </c>
      <c r="B23" s="29"/>
      <c r="C23" s="29"/>
      <c r="D23" s="29">
        <v>2</v>
      </c>
      <c r="E23" s="29"/>
      <c r="F23" s="30">
        <v>2</v>
      </c>
    </row>
    <row r="24" spans="1:6" ht="54.75" thickBot="1" x14ac:dyDescent="0.3">
      <c r="A24" s="28" t="s">
        <v>108</v>
      </c>
      <c r="B24" s="29"/>
      <c r="C24" s="29"/>
      <c r="D24" s="29">
        <v>1</v>
      </c>
      <c r="E24" s="29">
        <v>2</v>
      </c>
      <c r="F24" s="30">
        <v>3</v>
      </c>
    </row>
    <row r="25" spans="1:6" ht="54.75" thickBot="1" x14ac:dyDescent="0.3">
      <c r="A25" s="28" t="s">
        <v>109</v>
      </c>
      <c r="B25" s="29"/>
      <c r="C25" s="29"/>
      <c r="D25" s="29">
        <v>1</v>
      </c>
      <c r="E25" s="29">
        <v>2</v>
      </c>
      <c r="F25" s="30">
        <v>3</v>
      </c>
    </row>
    <row r="26" spans="1:6" ht="54.75" thickBot="1" x14ac:dyDescent="0.3">
      <c r="A26" s="28" t="s">
        <v>110</v>
      </c>
      <c r="B26" s="29"/>
      <c r="C26" s="29"/>
      <c r="D26" s="29">
        <v>1</v>
      </c>
      <c r="E26" s="29">
        <v>1</v>
      </c>
      <c r="F26" s="30">
        <v>2</v>
      </c>
    </row>
    <row r="27" spans="1:6" ht="54.75" thickBot="1" x14ac:dyDescent="0.3">
      <c r="A27" s="28" t="s">
        <v>111</v>
      </c>
      <c r="B27" s="29"/>
      <c r="C27" s="29"/>
      <c r="D27" s="29">
        <v>1</v>
      </c>
      <c r="E27" s="29">
        <v>2</v>
      </c>
      <c r="F27" s="30">
        <v>3</v>
      </c>
    </row>
    <row r="28" spans="1:6" ht="36.75" thickBot="1" x14ac:dyDescent="0.3">
      <c r="A28" s="28" t="s">
        <v>112</v>
      </c>
      <c r="B28" s="29">
        <v>2</v>
      </c>
      <c r="C28" s="29"/>
      <c r="D28" s="29">
        <v>5</v>
      </c>
      <c r="E28" s="29"/>
      <c r="F28" s="30">
        <v>7</v>
      </c>
    </row>
    <row r="29" spans="1:6" ht="36.75" thickBot="1" x14ac:dyDescent="0.3">
      <c r="A29" s="28" t="s">
        <v>113</v>
      </c>
      <c r="B29" s="29"/>
      <c r="C29" s="29"/>
      <c r="D29" s="29"/>
      <c r="E29" s="29">
        <v>1</v>
      </c>
      <c r="F29" s="30">
        <v>1</v>
      </c>
    </row>
    <row r="30" spans="1:6" ht="36.75" thickBot="1" x14ac:dyDescent="0.3">
      <c r="A30" s="28" t="s">
        <v>114</v>
      </c>
      <c r="B30" s="29"/>
      <c r="C30" s="29"/>
      <c r="D30" s="29"/>
      <c r="E30" s="29">
        <v>2</v>
      </c>
      <c r="F30" s="30">
        <v>2</v>
      </c>
    </row>
    <row r="31" spans="1:6" ht="72.75" thickBot="1" x14ac:dyDescent="0.3">
      <c r="A31" s="28" t="s">
        <v>115</v>
      </c>
      <c r="B31" s="29"/>
      <c r="C31" s="29"/>
      <c r="D31" s="29"/>
      <c r="E31" s="29">
        <v>1</v>
      </c>
      <c r="F31" s="30">
        <v>1</v>
      </c>
    </row>
    <row r="32" spans="1:6" ht="18.75" thickBot="1" x14ac:dyDescent="0.3">
      <c r="A32" s="28"/>
      <c r="B32" s="29"/>
      <c r="C32" s="29"/>
      <c r="D32" s="29"/>
      <c r="E32" s="29"/>
      <c r="F32" s="30"/>
    </row>
    <row r="33" spans="1:6" ht="90.75" thickBot="1" x14ac:dyDescent="0.3">
      <c r="A33" s="31" t="s">
        <v>66</v>
      </c>
    </row>
    <row r="34" spans="1:6" ht="90.75" thickBot="1" x14ac:dyDescent="0.3">
      <c r="A34" s="32" t="s">
        <v>116</v>
      </c>
      <c r="B34" s="33" t="s">
        <v>117</v>
      </c>
      <c r="C34" s="33" t="s">
        <v>118</v>
      </c>
      <c r="D34" s="33" t="s">
        <v>119</v>
      </c>
      <c r="E34" s="33" t="s">
        <v>120</v>
      </c>
      <c r="F34" s="34" t="s">
        <v>121</v>
      </c>
    </row>
    <row r="35" spans="1:6" ht="72.75" thickBot="1" x14ac:dyDescent="0.3">
      <c r="A35" s="28" t="s">
        <v>122</v>
      </c>
      <c r="B35" s="29">
        <v>2</v>
      </c>
      <c r="C35" s="29">
        <v>5</v>
      </c>
      <c r="D35" s="29">
        <v>6</v>
      </c>
      <c r="E35" s="29">
        <v>7</v>
      </c>
      <c r="F35" s="30">
        <v>20</v>
      </c>
    </row>
    <row r="36" spans="1:6" ht="36.75" thickBot="1" x14ac:dyDescent="0.3">
      <c r="A36" s="28" t="s">
        <v>123</v>
      </c>
      <c r="B36" s="29"/>
      <c r="C36" s="29"/>
      <c r="D36" s="29"/>
      <c r="E36" s="29">
        <v>7</v>
      </c>
      <c r="F36" s="30">
        <v>7</v>
      </c>
    </row>
    <row r="37" spans="1:6" ht="54.75" thickBot="1" x14ac:dyDescent="0.3">
      <c r="A37" s="28" t="s">
        <v>124</v>
      </c>
      <c r="B37" s="29"/>
      <c r="C37" s="29"/>
      <c r="D37" s="29"/>
      <c r="E37" s="29">
        <v>4</v>
      </c>
      <c r="F37" s="30">
        <v>4</v>
      </c>
    </row>
    <row r="38" spans="1:6" ht="54.75" thickBot="1" x14ac:dyDescent="0.3">
      <c r="A38" s="28" t="s">
        <v>67</v>
      </c>
      <c r="B38" s="29"/>
      <c r="C38" s="29"/>
      <c r="D38" s="29"/>
      <c r="E38" s="29">
        <v>4</v>
      </c>
      <c r="F38" s="30">
        <v>4</v>
      </c>
    </row>
    <row r="39" spans="1:6" ht="54.75" thickBot="1" x14ac:dyDescent="0.3">
      <c r="A39" s="28" t="s">
        <v>125</v>
      </c>
      <c r="B39" s="29"/>
      <c r="C39" s="29"/>
      <c r="D39" s="29">
        <v>1</v>
      </c>
      <c r="E39" s="29">
        <v>4</v>
      </c>
      <c r="F39" s="30">
        <v>5</v>
      </c>
    </row>
    <row r="40" spans="1:6" ht="36.75" thickBot="1" x14ac:dyDescent="0.3">
      <c r="A40" s="28" t="s">
        <v>126</v>
      </c>
      <c r="B40" s="29">
        <v>5</v>
      </c>
      <c r="C40" s="29">
        <v>5</v>
      </c>
      <c r="D40" s="29">
        <v>1</v>
      </c>
      <c r="E40" s="29">
        <v>4</v>
      </c>
      <c r="F40" s="30">
        <v>15</v>
      </c>
    </row>
    <row r="41" spans="1:6" ht="72.75" thickBot="1" x14ac:dyDescent="0.3">
      <c r="A41" s="28" t="s">
        <v>127</v>
      </c>
      <c r="B41" s="29"/>
      <c r="C41" s="29"/>
      <c r="D41" s="29"/>
      <c r="E41" s="29">
        <v>3</v>
      </c>
      <c r="F41" s="30">
        <v>3</v>
      </c>
    </row>
    <row r="42" spans="1:6" ht="72.75" thickBot="1" x14ac:dyDescent="0.3">
      <c r="A42" s="28" t="s">
        <v>128</v>
      </c>
      <c r="B42" s="29"/>
      <c r="C42" s="29"/>
      <c r="D42" s="29"/>
      <c r="E42" s="29">
        <v>2</v>
      </c>
      <c r="F42" s="30">
        <v>2</v>
      </c>
    </row>
    <row r="43" spans="1:6" ht="36.75" thickBot="1" x14ac:dyDescent="0.3">
      <c r="A43" s="28" t="s">
        <v>129</v>
      </c>
      <c r="B43" s="29"/>
      <c r="C43" s="29"/>
      <c r="D43" s="29"/>
      <c r="E43" s="29">
        <v>2</v>
      </c>
      <c r="F43" s="30">
        <v>2</v>
      </c>
    </row>
    <row r="44" spans="1:6" ht="36.75" thickBot="1" x14ac:dyDescent="0.3">
      <c r="A44" s="28" t="s">
        <v>130</v>
      </c>
      <c r="B44" s="29"/>
      <c r="C44" s="29"/>
      <c r="D44" s="29"/>
      <c r="E44" s="29">
        <v>2</v>
      </c>
      <c r="F44" s="30">
        <v>2</v>
      </c>
    </row>
    <row r="45" spans="1:6" ht="36.75" thickBot="1" x14ac:dyDescent="0.3">
      <c r="A45" s="28" t="s">
        <v>131</v>
      </c>
      <c r="B45" s="29"/>
      <c r="C45" s="29"/>
      <c r="D45" s="29"/>
      <c r="E45" s="29">
        <v>2</v>
      </c>
      <c r="F45" s="30">
        <v>2</v>
      </c>
    </row>
    <row r="46" spans="1:6" ht="54.75" thickBot="1" x14ac:dyDescent="0.3">
      <c r="A46" s="28" t="s">
        <v>132</v>
      </c>
      <c r="B46" s="29">
        <v>3</v>
      </c>
      <c r="C46" s="29">
        <v>3</v>
      </c>
      <c r="D46" s="29">
        <v>4</v>
      </c>
      <c r="E46" s="29">
        <v>5</v>
      </c>
      <c r="F46" s="30">
        <v>15</v>
      </c>
    </row>
    <row r="47" spans="1:6" ht="54.75" thickBot="1" x14ac:dyDescent="0.3">
      <c r="A47" s="28" t="s">
        <v>133</v>
      </c>
      <c r="B47" s="29"/>
      <c r="C47" s="29"/>
      <c r="D47" s="29">
        <v>2</v>
      </c>
      <c r="E47" s="29">
        <v>2</v>
      </c>
      <c r="F47" s="30">
        <v>4</v>
      </c>
    </row>
    <row r="48" spans="1:6" ht="54.75" thickBot="1" x14ac:dyDescent="0.3">
      <c r="A48" s="28" t="s">
        <v>134</v>
      </c>
      <c r="B48" s="29">
        <v>2</v>
      </c>
      <c r="C48" s="29"/>
      <c r="D48" s="29">
        <v>1</v>
      </c>
      <c r="E48" s="29">
        <v>3</v>
      </c>
      <c r="F48" s="30">
        <v>4</v>
      </c>
    </row>
    <row r="49" spans="1:6" ht="36.75" thickBot="1" x14ac:dyDescent="0.3">
      <c r="A49" s="28" t="s">
        <v>135</v>
      </c>
      <c r="B49" s="29">
        <v>2</v>
      </c>
      <c r="C49" s="29">
        <v>5</v>
      </c>
      <c r="D49" s="29">
        <v>3</v>
      </c>
      <c r="E49" s="29">
        <v>2</v>
      </c>
      <c r="F49" s="30">
        <v>12</v>
      </c>
    </row>
    <row r="50" spans="1:6" ht="54.75" thickBot="1" x14ac:dyDescent="0.3">
      <c r="A50" s="28" t="s">
        <v>136</v>
      </c>
      <c r="B50" s="29"/>
      <c r="C50" s="29"/>
      <c r="D50" s="29"/>
      <c r="E50" s="29">
        <v>2</v>
      </c>
      <c r="F50" s="30">
        <v>2</v>
      </c>
    </row>
    <row r="51" spans="1:6" ht="36.75" thickBot="1" x14ac:dyDescent="0.3">
      <c r="A51" s="28" t="s">
        <v>137</v>
      </c>
      <c r="B51" s="29"/>
      <c r="C51" s="29"/>
      <c r="D51" s="29"/>
      <c r="E51" s="29">
        <v>2</v>
      </c>
      <c r="F51" s="30">
        <v>2</v>
      </c>
    </row>
    <row r="52" spans="1:6" ht="54.75" thickBot="1" x14ac:dyDescent="0.3">
      <c r="A52" s="28" t="s">
        <v>138</v>
      </c>
      <c r="B52" s="29"/>
      <c r="C52" s="29"/>
      <c r="D52" s="29">
        <v>1</v>
      </c>
      <c r="E52" s="29">
        <v>2</v>
      </c>
      <c r="F52" s="30">
        <v>3</v>
      </c>
    </row>
    <row r="53" spans="1:6" ht="54.75" thickBot="1" x14ac:dyDescent="0.3">
      <c r="A53" s="28" t="s">
        <v>139</v>
      </c>
      <c r="B53" s="29"/>
      <c r="C53" s="29"/>
      <c r="D53" s="29">
        <v>1</v>
      </c>
      <c r="E53" s="29">
        <v>2</v>
      </c>
      <c r="F53" s="30">
        <v>3</v>
      </c>
    </row>
    <row r="54" spans="1:6" ht="72.75" thickBot="1" x14ac:dyDescent="0.3">
      <c r="A54" s="28" t="s">
        <v>140</v>
      </c>
      <c r="B54" s="29"/>
      <c r="C54" s="29"/>
      <c r="D54" s="29"/>
      <c r="E54" s="29">
        <v>2</v>
      </c>
      <c r="F54" s="30">
        <v>2</v>
      </c>
    </row>
    <row r="55" spans="1:6" ht="54.75" thickBot="1" x14ac:dyDescent="0.3">
      <c r="A55" s="28" t="s">
        <v>141</v>
      </c>
      <c r="B55" s="29">
        <v>2</v>
      </c>
      <c r="C55" s="29">
        <v>2</v>
      </c>
      <c r="D55" s="29">
        <v>2</v>
      </c>
      <c r="E55" s="29">
        <v>1</v>
      </c>
      <c r="F55" s="30">
        <v>7</v>
      </c>
    </row>
    <row r="56" spans="1:6" ht="54.75" thickBot="1" x14ac:dyDescent="0.3">
      <c r="A56" s="28" t="s">
        <v>142</v>
      </c>
      <c r="B56" s="29">
        <v>2</v>
      </c>
      <c r="C56" s="29">
        <v>2</v>
      </c>
      <c r="D56" s="29">
        <v>5</v>
      </c>
      <c r="E56" s="29">
        <v>1</v>
      </c>
      <c r="F56" s="30">
        <v>10</v>
      </c>
    </row>
    <row r="57" spans="1:6" ht="36.75" thickBot="1" x14ac:dyDescent="0.3">
      <c r="A57" s="28" t="s">
        <v>143</v>
      </c>
      <c r="B57" s="29">
        <v>1</v>
      </c>
      <c r="C57" s="29"/>
      <c r="D57" s="29"/>
      <c r="E57" s="29">
        <v>1</v>
      </c>
      <c r="F57" s="30">
        <v>1</v>
      </c>
    </row>
    <row r="58" spans="1:6" ht="54.75" thickBot="1" x14ac:dyDescent="0.3">
      <c r="A58" s="28" t="s">
        <v>144</v>
      </c>
      <c r="B58" s="29"/>
      <c r="C58" s="29"/>
      <c r="D58" s="29"/>
      <c r="E58" s="29">
        <v>1</v>
      </c>
      <c r="F58" s="30">
        <v>1</v>
      </c>
    </row>
    <row r="59" spans="1:6" ht="36.75" thickBot="1" x14ac:dyDescent="0.3">
      <c r="A59" s="28" t="s">
        <v>145</v>
      </c>
      <c r="B59" s="29"/>
      <c r="C59" s="29">
        <v>2</v>
      </c>
      <c r="D59" s="29">
        <v>1</v>
      </c>
      <c r="E59" s="29"/>
      <c r="F59" s="30">
        <v>3</v>
      </c>
    </row>
    <row r="60" spans="1:6" ht="36.75" thickBot="1" x14ac:dyDescent="0.3">
      <c r="A60" s="28" t="s">
        <v>146</v>
      </c>
      <c r="B60" s="29"/>
      <c r="C60" s="29">
        <v>3</v>
      </c>
      <c r="D60" s="29"/>
      <c r="E60" s="29"/>
      <c r="F60" s="30">
        <v>3</v>
      </c>
    </row>
    <row r="61" spans="1:6" ht="54.75" thickBot="1" x14ac:dyDescent="0.3">
      <c r="A61" s="28" t="s">
        <v>147</v>
      </c>
      <c r="B61" s="29"/>
      <c r="C61" s="29">
        <v>4</v>
      </c>
      <c r="D61" s="29"/>
      <c r="E61" s="29"/>
      <c r="F61" s="30">
        <v>4</v>
      </c>
    </row>
    <row r="62" spans="1:6" ht="72.75" thickBot="1" x14ac:dyDescent="0.3">
      <c r="A62" s="28" t="s">
        <v>148</v>
      </c>
      <c r="B62" s="29">
        <v>2</v>
      </c>
      <c r="C62" s="29"/>
      <c r="D62" s="29">
        <v>3</v>
      </c>
      <c r="E62" s="29"/>
      <c r="F62" s="30">
        <v>5</v>
      </c>
    </row>
    <row r="63" spans="1:6" ht="54.75" thickBot="1" x14ac:dyDescent="0.3">
      <c r="A63" s="28" t="s">
        <v>149</v>
      </c>
      <c r="B63" s="29">
        <v>1</v>
      </c>
      <c r="C63" s="29"/>
      <c r="D63" s="29">
        <v>2</v>
      </c>
      <c r="E63" s="29"/>
      <c r="F63" s="30">
        <v>3</v>
      </c>
    </row>
    <row r="64" spans="1:6" ht="36.75" thickBot="1" x14ac:dyDescent="0.3">
      <c r="A64" s="28" t="s">
        <v>150</v>
      </c>
      <c r="B64" s="29">
        <v>3</v>
      </c>
      <c r="C64" s="29"/>
      <c r="D64" s="29"/>
      <c r="E64" s="29"/>
      <c r="F64" s="30">
        <v>3</v>
      </c>
    </row>
    <row r="65" spans="1:6" ht="18.75" thickBot="1" x14ac:dyDescent="0.3">
      <c r="A65" s="28"/>
      <c r="B65" s="29"/>
      <c r="C65" s="29"/>
      <c r="D65" s="29"/>
      <c r="E65" s="29"/>
      <c r="F65" s="30"/>
    </row>
    <row r="66" spans="1:6" ht="18.75" thickBot="1" x14ac:dyDescent="0.3">
      <c r="A66" s="28"/>
      <c r="B66" s="29"/>
      <c r="C66" s="29"/>
      <c r="D66" s="29"/>
      <c r="E66" s="29"/>
      <c r="F66" s="30"/>
    </row>
    <row r="67" spans="1:6" ht="90.75" thickBot="1" x14ac:dyDescent="0.3">
      <c r="A67" s="35" t="s">
        <v>64</v>
      </c>
    </row>
    <row r="68" spans="1:6" ht="90.75" thickBot="1" x14ac:dyDescent="0.3">
      <c r="A68" s="36" t="s">
        <v>116</v>
      </c>
      <c r="B68" s="37" t="s">
        <v>117</v>
      </c>
      <c r="C68" s="37" t="s">
        <v>118</v>
      </c>
      <c r="D68" s="37" t="s">
        <v>119</v>
      </c>
      <c r="E68" s="37" t="s">
        <v>120</v>
      </c>
      <c r="F68" s="38" t="s">
        <v>121</v>
      </c>
    </row>
    <row r="69" spans="1:6" ht="54.75" thickBot="1" x14ac:dyDescent="0.3">
      <c r="A69" s="28" t="s">
        <v>151</v>
      </c>
      <c r="B69" s="29">
        <v>3</v>
      </c>
      <c r="C69" s="29">
        <v>4</v>
      </c>
      <c r="D69" s="29">
        <v>6</v>
      </c>
      <c r="E69" s="29"/>
      <c r="F69" s="30">
        <v>13</v>
      </c>
    </row>
    <row r="70" spans="1:6" ht="54.75" thickBot="1" x14ac:dyDescent="0.3">
      <c r="A70" s="28" t="s">
        <v>152</v>
      </c>
      <c r="B70" s="29">
        <v>2</v>
      </c>
      <c r="C70" s="29"/>
      <c r="D70" s="29">
        <v>2</v>
      </c>
      <c r="E70" s="29"/>
      <c r="F70" s="30">
        <v>4</v>
      </c>
    </row>
    <row r="71" spans="1:6" ht="36.75" thickBot="1" x14ac:dyDescent="0.3">
      <c r="A71" s="28" t="s">
        <v>153</v>
      </c>
      <c r="B71" s="29">
        <v>1</v>
      </c>
      <c r="C71" s="29"/>
      <c r="D71" s="29"/>
      <c r="E71" s="29">
        <v>2</v>
      </c>
      <c r="F71" s="30">
        <v>3</v>
      </c>
    </row>
    <row r="72" spans="1:6" ht="54.75" thickBot="1" x14ac:dyDescent="0.3">
      <c r="A72" s="28" t="s">
        <v>154</v>
      </c>
      <c r="B72" s="29"/>
      <c r="C72" s="29">
        <v>1</v>
      </c>
      <c r="D72" s="29"/>
      <c r="E72" s="29">
        <v>2</v>
      </c>
      <c r="F72" s="30">
        <v>3</v>
      </c>
    </row>
    <row r="73" spans="1:6" ht="36.75" thickBot="1" x14ac:dyDescent="0.3">
      <c r="A73" s="28" t="s">
        <v>155</v>
      </c>
      <c r="B73" s="29"/>
      <c r="C73" s="29">
        <v>1</v>
      </c>
      <c r="D73" s="29">
        <v>3</v>
      </c>
      <c r="E73" s="29">
        <v>4</v>
      </c>
      <c r="F73" s="30">
        <v>8</v>
      </c>
    </row>
    <row r="74" spans="1:6" ht="36.75" thickBot="1" x14ac:dyDescent="0.3">
      <c r="A74" s="28" t="s">
        <v>156</v>
      </c>
      <c r="B74" s="29"/>
      <c r="C74" s="29"/>
      <c r="D74" s="29">
        <v>6</v>
      </c>
      <c r="E74" s="29">
        <v>5</v>
      </c>
      <c r="F74" s="30">
        <v>11</v>
      </c>
    </row>
    <row r="75" spans="1:6" ht="54.75" thickBot="1" x14ac:dyDescent="0.3">
      <c r="A75" s="28" t="s">
        <v>157</v>
      </c>
      <c r="B75" s="29"/>
      <c r="C75" s="29"/>
      <c r="D75" s="29">
        <v>3</v>
      </c>
      <c r="E75" s="29">
        <v>1</v>
      </c>
      <c r="F75" s="30">
        <v>4</v>
      </c>
    </row>
    <row r="76" spans="1:6" ht="54.75" thickBot="1" x14ac:dyDescent="0.3">
      <c r="A76" s="28" t="s">
        <v>158</v>
      </c>
      <c r="B76" s="29"/>
      <c r="C76" s="29"/>
      <c r="D76" s="29">
        <v>3</v>
      </c>
      <c r="E76" s="29">
        <v>1</v>
      </c>
      <c r="F76" s="30">
        <v>4</v>
      </c>
    </row>
    <row r="77" spans="1:6" ht="72.75" thickBot="1" x14ac:dyDescent="0.3">
      <c r="A77" s="28" t="s">
        <v>159</v>
      </c>
      <c r="B77" s="29"/>
      <c r="C77" s="29"/>
      <c r="D77" s="29">
        <v>3</v>
      </c>
      <c r="E77" s="29">
        <v>6</v>
      </c>
      <c r="F77" s="30">
        <v>9</v>
      </c>
    </row>
    <row r="78" spans="1:6" ht="54.75" thickBot="1" x14ac:dyDescent="0.3">
      <c r="A78" s="28" t="s">
        <v>160</v>
      </c>
      <c r="B78" s="29"/>
      <c r="C78" s="29"/>
      <c r="D78" s="29">
        <v>1</v>
      </c>
      <c r="E78" s="29">
        <v>3</v>
      </c>
      <c r="F78" s="30">
        <v>4</v>
      </c>
    </row>
    <row r="79" spans="1:6" ht="72.75" thickBot="1" x14ac:dyDescent="0.3">
      <c r="A79" s="28" t="s">
        <v>161</v>
      </c>
      <c r="B79" s="29"/>
      <c r="C79" s="29"/>
      <c r="D79" s="29"/>
      <c r="E79" s="29">
        <v>6</v>
      </c>
      <c r="F79" s="30">
        <v>6</v>
      </c>
    </row>
    <row r="80" spans="1:6" ht="54.75" thickBot="1" x14ac:dyDescent="0.3">
      <c r="A80" s="28" t="s">
        <v>162</v>
      </c>
      <c r="B80" s="29"/>
      <c r="C80" s="29"/>
      <c r="D80" s="29"/>
      <c r="E80" s="29">
        <v>5</v>
      </c>
      <c r="F80" s="30">
        <v>5</v>
      </c>
    </row>
    <row r="81" spans="1:6" ht="36.75" thickBot="1" x14ac:dyDescent="0.3">
      <c r="A81" s="28" t="s">
        <v>163</v>
      </c>
      <c r="B81" s="29"/>
      <c r="C81" s="29"/>
      <c r="D81" s="29"/>
      <c r="E81" s="29">
        <v>2</v>
      </c>
      <c r="F81" s="30">
        <v>2</v>
      </c>
    </row>
    <row r="82" spans="1:6" ht="36.75" thickBot="1" x14ac:dyDescent="0.3">
      <c r="A82" s="28" t="s">
        <v>164</v>
      </c>
      <c r="B82" s="29"/>
      <c r="C82" s="29"/>
      <c r="D82" s="29"/>
      <c r="E82" s="29">
        <v>3</v>
      </c>
      <c r="F82" s="30">
        <v>3</v>
      </c>
    </row>
    <row r="83" spans="1:6" ht="54.75" thickBot="1" x14ac:dyDescent="0.3">
      <c r="A83" s="28" t="s">
        <v>165</v>
      </c>
      <c r="B83" s="29"/>
      <c r="C83" s="29"/>
      <c r="D83" s="29"/>
      <c r="E83" s="29">
        <v>2</v>
      </c>
      <c r="F83" s="30">
        <v>2</v>
      </c>
    </row>
    <row r="84" spans="1:6" ht="72.75" thickBot="1" x14ac:dyDescent="0.3">
      <c r="A84" s="28" t="s">
        <v>65</v>
      </c>
      <c r="B84" s="29"/>
      <c r="C84" s="29"/>
      <c r="D84" s="29"/>
      <c r="E84" s="29">
        <v>2</v>
      </c>
      <c r="F84" s="30">
        <v>2</v>
      </c>
    </row>
    <row r="85" spans="1:6" ht="36.75" thickBot="1" x14ac:dyDescent="0.3">
      <c r="A85" s="28" t="s">
        <v>166</v>
      </c>
      <c r="B85" s="29"/>
      <c r="C85" s="29"/>
      <c r="D85" s="29"/>
      <c r="E85" s="29">
        <v>1</v>
      </c>
      <c r="F85" s="30">
        <v>1</v>
      </c>
    </row>
    <row r="86" spans="1:6" ht="18.75" thickBot="1" x14ac:dyDescent="0.3">
      <c r="A86" s="28"/>
      <c r="B86" s="29"/>
      <c r="C86" s="29"/>
      <c r="D86" s="29"/>
      <c r="E86" s="29"/>
      <c r="F86" s="30"/>
    </row>
    <row r="87" spans="1:6" ht="18.75" thickBot="1" x14ac:dyDescent="0.3">
      <c r="A87" s="28"/>
      <c r="B87" s="29"/>
      <c r="C87" s="29"/>
      <c r="D87" s="29"/>
      <c r="E87" s="29"/>
      <c r="F87" s="30"/>
    </row>
    <row r="88" spans="1:6" ht="18.75" thickBot="1" x14ac:dyDescent="0.3">
      <c r="A88" s="28"/>
      <c r="B88" s="29"/>
      <c r="C88" s="29"/>
      <c r="D88" s="29"/>
      <c r="E88" s="29"/>
      <c r="F88" s="30"/>
    </row>
    <row r="89" spans="1:6" ht="18.75" thickBot="1" x14ac:dyDescent="0.3">
      <c r="A89" s="28"/>
      <c r="B89" s="29"/>
      <c r="C89" s="29"/>
      <c r="D89" s="29"/>
      <c r="E89" s="29"/>
      <c r="F89" s="30"/>
    </row>
    <row r="90" spans="1:6" ht="18.75" thickBot="1" x14ac:dyDescent="0.3">
      <c r="A90" s="28"/>
      <c r="B90" s="29"/>
      <c r="C90" s="29"/>
      <c r="D90" s="29"/>
      <c r="E90" s="29"/>
      <c r="F90" s="30"/>
    </row>
    <row r="91" spans="1:6" ht="18.75" thickBot="1" x14ac:dyDescent="0.3">
      <c r="A91" s="28"/>
      <c r="B91" s="29"/>
      <c r="C91" s="29"/>
      <c r="D91" s="29"/>
      <c r="E91" s="29"/>
      <c r="F91" s="30"/>
    </row>
    <row r="92" spans="1:6" ht="18.75" thickBot="1" x14ac:dyDescent="0.3">
      <c r="A92" s="28"/>
      <c r="B92" s="29"/>
      <c r="C92" s="29"/>
      <c r="D92" s="29"/>
      <c r="E92" s="29"/>
      <c r="F92" s="30"/>
    </row>
    <row r="93" spans="1:6" ht="18.75" thickBot="1" x14ac:dyDescent="0.3">
      <c r="A93" s="28"/>
      <c r="B93" s="29"/>
      <c r="C93" s="29"/>
      <c r="D93" s="29"/>
      <c r="E93" s="29"/>
      <c r="F93" s="30"/>
    </row>
    <row r="94" spans="1:6" ht="18.75" thickBot="1" x14ac:dyDescent="0.3">
      <c r="A94" s="28"/>
      <c r="B94" s="29"/>
      <c r="C94" s="29"/>
      <c r="D94" s="29"/>
      <c r="E94" s="29"/>
      <c r="F94" s="30"/>
    </row>
    <row r="95" spans="1:6" ht="18.75" thickBot="1" x14ac:dyDescent="0.3">
      <c r="A95" s="28"/>
      <c r="B95" s="29"/>
      <c r="C95" s="29"/>
      <c r="D95" s="29"/>
      <c r="E95" s="29"/>
      <c r="F95" s="30"/>
    </row>
    <row r="96" spans="1:6" ht="18.75" thickBot="1" x14ac:dyDescent="0.3">
      <c r="A96" s="28"/>
      <c r="B96" s="29"/>
      <c r="C96" s="29"/>
      <c r="D96" s="29"/>
      <c r="E96" s="29"/>
      <c r="F96" s="30"/>
    </row>
    <row r="97" spans="1:6" ht="18.75" thickBot="1" x14ac:dyDescent="0.3">
      <c r="A97" s="28"/>
      <c r="B97" s="29"/>
      <c r="C97" s="29"/>
      <c r="D97" s="29"/>
      <c r="E97" s="29"/>
      <c r="F97" s="30"/>
    </row>
    <row r="98" spans="1:6" ht="18.75" thickBot="1" x14ac:dyDescent="0.3">
      <c r="A98" s="28"/>
      <c r="B98" s="29"/>
      <c r="C98" s="29"/>
      <c r="D98" s="29"/>
      <c r="E98" s="29"/>
      <c r="F98" s="30"/>
    </row>
    <row r="99" spans="1:6" ht="18.75" thickBot="1" x14ac:dyDescent="0.3">
      <c r="A99" s="28"/>
      <c r="B99" s="29"/>
      <c r="C99" s="29"/>
      <c r="D99" s="29"/>
      <c r="E99" s="29"/>
      <c r="F99" s="30"/>
    </row>
    <row r="100" spans="1:6" ht="18.75" thickBot="1" x14ac:dyDescent="0.3">
      <c r="A100" s="28"/>
      <c r="B100" s="29"/>
      <c r="C100" s="29"/>
      <c r="D100" s="29"/>
      <c r="E100" s="29"/>
      <c r="F100" s="30"/>
    </row>
    <row r="101" spans="1:6" x14ac:dyDescent="0.25">
      <c r="A101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 distances</vt:lpstr>
      <vt:lpstr>Run distances (Term 2)</vt:lpstr>
      <vt:lpstr>Run distances (Term 3)</vt:lpstr>
      <vt:lpstr>Run distances (Term 4)</vt:lpstr>
      <vt:lpstr>Destination Distances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Talbot, Stephen (Minlaton District School)</dc:creator>
  <cp:lastModifiedBy>Cock, Erin (Minlaton District School)</cp:lastModifiedBy>
  <cp:lastPrinted>2025-10-22T06:30:44Z</cp:lastPrinted>
  <dcterms:created xsi:type="dcterms:W3CDTF">2025-02-06T06:55:29Z</dcterms:created>
  <dcterms:modified xsi:type="dcterms:W3CDTF">2025-11-25T23:46:33Z</dcterms:modified>
</cp:coreProperties>
</file>